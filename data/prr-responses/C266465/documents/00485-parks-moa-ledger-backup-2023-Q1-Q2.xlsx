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&amp;A\Accounting\Billing&amp;Receivables\MOA Billing\MOA Receivable\PKS_SAS-Animal Control Officer - 3-2-16-12-31-27\2023\"/>
    </mc:Choice>
  </mc:AlternateContent>
  <xr:revisionPtr revIDLastSave="0" documentId="13_ncr:1_{AEB8034C-29F9-43D2-97AC-7827A50BFDED}" xr6:coauthVersionLast="47" xr6:coauthVersionMax="47" xr10:uidLastSave="{00000000-0000-0000-0000-000000000000}"/>
  <bookViews>
    <workbookView xWindow="-110" yWindow="-110" windowWidth="19420" windowHeight="10420" activeTab="1" xr2:uid="{6C633AA9-4EE0-41B0-8A60-B610B5F1701A}"/>
  </bookViews>
  <sheets>
    <sheet name="Q1 2023" sheetId="1" r:id="rId1"/>
    <sheet name="Q2 2023" sheetId="4" r:id="rId2"/>
    <sheet name="Budget Backup" sheetId="2" r:id="rId3"/>
    <sheet name="MOA Backup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D37" i="4"/>
  <c r="D36" i="4"/>
  <c r="G35" i="4"/>
  <c r="D35" i="4"/>
  <c r="G34" i="4"/>
  <c r="D34" i="4"/>
  <c r="D33" i="4"/>
  <c r="D38" i="4" s="1"/>
  <c r="G32" i="4" s="1"/>
  <c r="D25" i="4"/>
  <c r="D24" i="4"/>
  <c r="G23" i="4"/>
  <c r="D23" i="4"/>
  <c r="G22" i="4"/>
  <c r="D22" i="4"/>
  <c r="D21" i="4"/>
  <c r="D13" i="4"/>
  <c r="D12" i="4"/>
  <c r="G11" i="4"/>
  <c r="D11" i="4"/>
  <c r="G10" i="4"/>
  <c r="D10" i="4"/>
  <c r="D9" i="4"/>
  <c r="G35" i="1"/>
  <c r="G34" i="1"/>
  <c r="G33" i="1"/>
  <c r="G23" i="1"/>
  <c r="G22" i="1"/>
  <c r="G11" i="1"/>
  <c r="G10" i="1"/>
  <c r="G9" i="1"/>
  <c r="D37" i="1"/>
  <c r="D36" i="1"/>
  <c r="D35" i="1"/>
  <c r="D34" i="1"/>
  <c r="D33" i="1"/>
  <c r="D25" i="1"/>
  <c r="D24" i="1"/>
  <c r="D23" i="1"/>
  <c r="D22" i="1"/>
  <c r="D21" i="1"/>
  <c r="D13" i="1"/>
  <c r="D12" i="1"/>
  <c r="D11" i="1"/>
  <c r="D10" i="1"/>
  <c r="D9" i="1"/>
  <c r="D26" i="4" l="1"/>
  <c r="G20" i="4" s="1"/>
  <c r="G21" i="4" s="1"/>
  <c r="G24" i="4" s="1"/>
  <c r="B3" i="4" s="1"/>
  <c r="D14" i="4"/>
  <c r="G8" i="4" s="1"/>
  <c r="G9" i="4"/>
  <c r="G12" i="4" s="1"/>
  <c r="B2" i="4" s="1"/>
  <c r="G33" i="4"/>
  <c r="G37" i="4" s="1"/>
  <c r="B4" i="4" s="1"/>
  <c r="D38" i="1"/>
  <c r="G32" i="1" s="1"/>
  <c r="D14" i="1"/>
  <c r="G8" i="1" s="1"/>
  <c r="D26" i="1"/>
  <c r="G20" i="1" s="1"/>
  <c r="G21" i="1" s="1"/>
  <c r="B5" i="4" l="1"/>
  <c r="E5" i="4" s="1"/>
  <c r="G12" i="1"/>
  <c r="B2" i="1" s="1"/>
  <c r="G37" i="1"/>
  <c r="B4" i="1" s="1"/>
  <c r="G24" i="1"/>
  <c r="B3" i="1" s="1"/>
  <c r="B5" i="1" l="1"/>
  <c r="E5" i="1" s="1"/>
</calcChain>
</file>

<file path=xl/sharedStrings.xml><?xml version="1.0" encoding="utf-8"?>
<sst xmlns="http://schemas.openxmlformats.org/spreadsheetml/2006/main" count="124" uniqueCount="59">
  <si>
    <t>JID: PKS_MOA</t>
  </si>
  <si>
    <t>Total</t>
  </si>
  <si>
    <t>Week</t>
  </si>
  <si>
    <t>Hours</t>
  </si>
  <si>
    <t>Rate</t>
  </si>
  <si>
    <t>Salary Costs</t>
  </si>
  <si>
    <t>FAS Overhead costs</t>
  </si>
  <si>
    <t>Supply Costs</t>
  </si>
  <si>
    <t>Total Salary Costs</t>
  </si>
  <si>
    <t>Q1 2023</t>
  </si>
  <si>
    <t>JAN 2023 STAFFING TO SUPPORT "MAKING PARKS SAFER" INITIATIVE</t>
  </si>
  <si>
    <t>FEB 2023 STAFFING TO SUPPORT "MAKING PARKS SAFER" INITIATIVE</t>
  </si>
  <si>
    <t>MAR 2022 STAFFING TO SUPPORT "MAKING PARKS SAFER" INITIATIVE</t>
  </si>
  <si>
    <t>JAN</t>
  </si>
  <si>
    <t>FEB</t>
  </si>
  <si>
    <t>MAR</t>
  </si>
  <si>
    <t>1/2-1/6</t>
  </si>
  <si>
    <t>1/9-1/13</t>
  </si>
  <si>
    <t>1/16-1/20</t>
  </si>
  <si>
    <t>1/23-1/27</t>
  </si>
  <si>
    <t>1/30-1/31</t>
  </si>
  <si>
    <t>2/1-2/3</t>
  </si>
  <si>
    <t>2/6-2/10</t>
  </si>
  <si>
    <t>2/13-2/17</t>
  </si>
  <si>
    <t>2/20-2/24</t>
  </si>
  <si>
    <t>2/27-2/28</t>
  </si>
  <si>
    <t>3/1-3/3</t>
  </si>
  <si>
    <t>3/6-3/10</t>
  </si>
  <si>
    <t>3/13-3/17</t>
  </si>
  <si>
    <t>3/20-3/24</t>
  </si>
  <si>
    <t>3/27-3/31</t>
  </si>
  <si>
    <t>47.97% for benefits</t>
  </si>
  <si>
    <t>$10,165 Annually</t>
  </si>
  <si>
    <t xml:space="preserve">$3,000 Annually </t>
  </si>
  <si>
    <t xml:space="preserve">   Costs for three Staff =</t>
  </si>
  <si>
    <t>April 2023 STAFFING TO SUPPORT "MAKING PARKS SAFER" INITIATIVE</t>
  </si>
  <si>
    <t>May 2023 STAFFING TO SUPPORT "MAKING PARKS SAFER" INITIATIVE</t>
  </si>
  <si>
    <t>June 2022 STAFFING TO SUPPORT "MAKING PARKS SAFER" INITIATIVE</t>
  </si>
  <si>
    <t>4/3-4/7</t>
  </si>
  <si>
    <t>4/10-4/14</t>
  </si>
  <si>
    <t>4/17-4/21</t>
  </si>
  <si>
    <t>4/24-4/28</t>
  </si>
  <si>
    <t>April</t>
  </si>
  <si>
    <t>May</t>
  </si>
  <si>
    <t>June</t>
  </si>
  <si>
    <t>5/1-5/5</t>
  </si>
  <si>
    <t>5/8-5/12</t>
  </si>
  <si>
    <t>5/15-5/19</t>
  </si>
  <si>
    <t>5/22-5/26</t>
  </si>
  <si>
    <t>5/29-5/31</t>
  </si>
  <si>
    <t>6/1-6/2</t>
  </si>
  <si>
    <t>6/5-6/9</t>
  </si>
  <si>
    <t>6/12-6/16</t>
  </si>
  <si>
    <t>6/19-6/23</t>
  </si>
  <si>
    <t>6/26-6/30</t>
  </si>
  <si>
    <t>Q1 Adjustment</t>
  </si>
  <si>
    <t>Total Cost Three Staff</t>
  </si>
  <si>
    <t xml:space="preserve">   Costs for Three Staff =</t>
  </si>
  <si>
    <t>Cell C21 = $113454.64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</si>
</sst>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1" fillId="0" borderId="0" xfId="0" applyFont="1"/>
    <xf numFmtId="49" fontId="0" fillId="0" borderId="1" xfId="0" applyNumberFormat="1" applyBorder="1" applyAlignment="1">
      <alignment horizontal="right"/>
    </xf>
    <xf numFmtId="44" fontId="0" fillId="0" borderId="1" xfId="0" applyNumberFormat="1" applyBorder="1"/>
    <xf numFmtId="0" fontId="2" fillId="0" borderId="1" xfId="0" applyFont="1" applyBorder="1" applyAlignment="1">
      <alignment horizontal="right"/>
    </xf>
    <xf numFmtId="44" fontId="2" fillId="0" borderId="1" xfId="0" applyNumberFormat="1" applyFont="1" applyBorder="1"/>
    <xf numFmtId="0" fontId="2" fillId="0" borderId="0" xfId="0" applyFont="1" applyAlignment="1">
      <alignment horizontal="right"/>
    </xf>
    <xf numFmtId="44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44" fontId="1" fillId="0" borderId="1" xfId="2" applyBorder="1"/>
    <xf numFmtId="44" fontId="0" fillId="0" borderId="0" xfId="0" applyNumberFormat="1"/>
    <xf numFmtId="164" fontId="0" fillId="0" borderId="1" xfId="0" applyNumberFormat="1" applyBorder="1" applyAlignment="1">
      <alignment horizontal="center"/>
    </xf>
    <xf numFmtId="43" fontId="1" fillId="0" borderId="1" xfId="1" applyFill="1" applyBorder="1" applyAlignment="1">
      <alignment horizontal="center"/>
    </xf>
    <xf numFmtId="43" fontId="1" fillId="0" borderId="1" xfId="0" applyNumberFormat="1" applyFont="1" applyBorder="1" applyAlignment="1">
      <alignment horizontal="center"/>
    </xf>
    <xf numFmtId="0" fontId="3" fillId="0" borderId="0" xfId="0" applyFont="1"/>
    <xf numFmtId="44" fontId="2" fillId="0" borderId="2" xfId="0" applyNumberFormat="1" applyFont="1" applyBorder="1"/>
    <xf numFmtId="0" fontId="4" fillId="0" borderId="0" xfId="0" applyFont="1"/>
    <xf numFmtId="164" fontId="1" fillId="0" borderId="0" xfId="0" applyNumberFormat="1" applyFont="1"/>
    <xf numFmtId="44" fontId="2" fillId="0" borderId="2" xfId="2" applyFont="1" applyBorder="1" applyAlignment="1">
      <alignment horizontal="right"/>
    </xf>
    <xf numFmtId="44" fontId="2" fillId="0" borderId="0" xfId="2" applyFont="1" applyBorder="1" applyAlignment="1">
      <alignment horizontal="right"/>
    </xf>
    <xf numFmtId="0" fontId="1" fillId="0" borderId="0" xfId="0" applyFont="1" applyAlignment="1">
      <alignment horizontal="right"/>
    </xf>
    <xf numFmtId="44" fontId="1" fillId="0" borderId="3" xfId="2" applyBorder="1"/>
    <xf numFmtId="44" fontId="2" fillId="0" borderId="4" xfId="2" applyFont="1" applyBorder="1" applyAlignment="1">
      <alignment horizontal="right"/>
    </xf>
    <xf numFmtId="43" fontId="0" fillId="0" borderId="0" xfId="0" applyNumberFormat="1"/>
    <xf numFmtId="2" fontId="0" fillId="0" borderId="0" xfId="0" applyNumberFormat="1"/>
    <xf numFmtId="44" fontId="2" fillId="2" borderId="2" xfId="0" applyNumberFormat="1" applyFont="1" applyFill="1" applyBorder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40" fontId="2" fillId="4" borderId="1" xfId="2" applyNumberFormat="1" applyFont="1" applyFill="1" applyBorder="1"/>
    <xf numFmtId="40" fontId="1" fillId="0" borderId="0" xfId="0" applyNumberFormat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114300</xdr:rowOff>
    </xdr:from>
    <xdr:to>
      <xdr:col>4</xdr:col>
      <xdr:colOff>342900</xdr:colOff>
      <xdr:row>13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2D5A834-3BC2-4A5A-820E-F29723A62622}"/>
            </a:ext>
          </a:extLst>
        </xdr:cNvPr>
        <xdr:cNvCxnSpPr/>
      </xdr:nvCxnSpPr>
      <xdr:spPr>
        <a:xfrm>
          <a:off x="3270250" y="2520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7</xdr:row>
      <xdr:rowOff>66675</xdr:rowOff>
    </xdr:from>
    <xdr:to>
      <xdr:col>4</xdr:col>
      <xdr:colOff>314325</xdr:colOff>
      <xdr:row>13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5D5ADF-FFE7-435D-AF2F-FE68B1A6BAFF}"/>
            </a:ext>
          </a:extLst>
        </xdr:cNvPr>
        <xdr:cNvCxnSpPr/>
      </xdr:nvCxnSpPr>
      <xdr:spPr>
        <a:xfrm flipV="1">
          <a:off x="3575050" y="13557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7</xdr:row>
      <xdr:rowOff>66676</xdr:rowOff>
    </xdr:from>
    <xdr:to>
      <xdr:col>5</xdr:col>
      <xdr:colOff>0</xdr:colOff>
      <xdr:row>7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35581A2-172B-42BB-A1E2-3B39C17675C0}"/>
            </a:ext>
          </a:extLst>
        </xdr:cNvPr>
        <xdr:cNvCxnSpPr/>
      </xdr:nvCxnSpPr>
      <xdr:spPr>
        <a:xfrm>
          <a:off x="3613150" y="1355726"/>
          <a:ext cx="4762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114300</xdr:rowOff>
    </xdr:from>
    <xdr:to>
      <xdr:col>4</xdr:col>
      <xdr:colOff>342900</xdr:colOff>
      <xdr:row>25</xdr:row>
      <xdr:rowOff>114300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2C75AA8-E244-423E-B76C-F7CDB8C24ACD}"/>
            </a:ext>
          </a:extLst>
        </xdr:cNvPr>
        <xdr:cNvCxnSpPr/>
      </xdr:nvCxnSpPr>
      <xdr:spPr>
        <a:xfrm>
          <a:off x="3270250" y="4756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19</xdr:row>
      <xdr:rowOff>66675</xdr:rowOff>
    </xdr:from>
    <xdr:to>
      <xdr:col>4</xdr:col>
      <xdr:colOff>342900</xdr:colOff>
      <xdr:row>25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775ABD-C2E5-4EAE-BB5D-578BE6256789}"/>
            </a:ext>
          </a:extLst>
        </xdr:cNvPr>
        <xdr:cNvCxnSpPr/>
      </xdr:nvCxnSpPr>
      <xdr:spPr>
        <a:xfrm flipV="1">
          <a:off x="3603625" y="35909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19</xdr:row>
      <xdr:rowOff>66676</xdr:rowOff>
    </xdr:from>
    <xdr:to>
      <xdr:col>5</xdr:col>
      <xdr:colOff>0</xdr:colOff>
      <xdr:row>19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C7DA34E-2EA5-4400-89C2-0C81D461FC79}"/>
            </a:ext>
          </a:extLst>
        </xdr:cNvPr>
        <xdr:cNvCxnSpPr/>
      </xdr:nvCxnSpPr>
      <xdr:spPr>
        <a:xfrm>
          <a:off x="3613150" y="3590926"/>
          <a:ext cx="4762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</xdr:row>
      <xdr:rowOff>114300</xdr:rowOff>
    </xdr:from>
    <xdr:to>
      <xdr:col>4</xdr:col>
      <xdr:colOff>342900</xdr:colOff>
      <xdr:row>37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754A4A0-2B9A-4911-A9BF-878A6140411A}"/>
            </a:ext>
          </a:extLst>
        </xdr:cNvPr>
        <xdr:cNvCxnSpPr/>
      </xdr:nvCxnSpPr>
      <xdr:spPr>
        <a:xfrm>
          <a:off x="3270250" y="6985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31</xdr:row>
      <xdr:rowOff>66675</xdr:rowOff>
    </xdr:from>
    <xdr:to>
      <xdr:col>4</xdr:col>
      <xdr:colOff>342900</xdr:colOff>
      <xdr:row>37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4792E50-6792-4D44-AC75-118F2FC5FDC9}"/>
            </a:ext>
          </a:extLst>
        </xdr:cNvPr>
        <xdr:cNvCxnSpPr/>
      </xdr:nvCxnSpPr>
      <xdr:spPr>
        <a:xfrm flipV="1">
          <a:off x="3603625" y="5826125"/>
          <a:ext cx="9525" cy="1158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31</xdr:row>
      <xdr:rowOff>66676</xdr:rowOff>
    </xdr:from>
    <xdr:to>
      <xdr:col>5</xdr:col>
      <xdr:colOff>0</xdr:colOff>
      <xdr:row>31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43BFBC4-3315-4F6B-BE31-61A61315ABBB}"/>
            </a:ext>
          </a:extLst>
        </xdr:cNvPr>
        <xdr:cNvCxnSpPr/>
      </xdr:nvCxnSpPr>
      <xdr:spPr>
        <a:xfrm>
          <a:off x="3613150" y="5826126"/>
          <a:ext cx="4762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114300</xdr:rowOff>
    </xdr:from>
    <xdr:to>
      <xdr:col>4</xdr:col>
      <xdr:colOff>342900</xdr:colOff>
      <xdr:row>13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C9DB15-F675-48B1-A947-2CB1AAC08343}"/>
            </a:ext>
          </a:extLst>
        </xdr:cNvPr>
        <xdr:cNvCxnSpPr/>
      </xdr:nvCxnSpPr>
      <xdr:spPr>
        <a:xfrm>
          <a:off x="3270250" y="25336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7</xdr:row>
      <xdr:rowOff>66675</xdr:rowOff>
    </xdr:from>
    <xdr:to>
      <xdr:col>4</xdr:col>
      <xdr:colOff>314325</xdr:colOff>
      <xdr:row>13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9980E43-4A4F-4804-8D6E-9B58E01FB429}"/>
            </a:ext>
          </a:extLst>
        </xdr:cNvPr>
        <xdr:cNvCxnSpPr/>
      </xdr:nvCxnSpPr>
      <xdr:spPr>
        <a:xfrm flipV="1">
          <a:off x="3575050" y="13684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7</xdr:row>
      <xdr:rowOff>66676</xdr:rowOff>
    </xdr:from>
    <xdr:to>
      <xdr:col>5</xdr:col>
      <xdr:colOff>0</xdr:colOff>
      <xdr:row>7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1803D60-60AE-439C-A3C7-EB0E5C4E8CC8}"/>
            </a:ext>
          </a:extLst>
        </xdr:cNvPr>
        <xdr:cNvCxnSpPr/>
      </xdr:nvCxnSpPr>
      <xdr:spPr>
        <a:xfrm>
          <a:off x="3613150" y="13684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114300</xdr:rowOff>
    </xdr:from>
    <xdr:to>
      <xdr:col>4</xdr:col>
      <xdr:colOff>342900</xdr:colOff>
      <xdr:row>25</xdr:row>
      <xdr:rowOff>114300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AB07EA2-63DC-4A2A-BED8-B422A6D78EF8}"/>
            </a:ext>
          </a:extLst>
        </xdr:cNvPr>
        <xdr:cNvCxnSpPr/>
      </xdr:nvCxnSpPr>
      <xdr:spPr>
        <a:xfrm>
          <a:off x="3270250" y="47688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19</xdr:row>
      <xdr:rowOff>66675</xdr:rowOff>
    </xdr:from>
    <xdr:to>
      <xdr:col>4</xdr:col>
      <xdr:colOff>342900</xdr:colOff>
      <xdr:row>25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3634080-BE35-4E8B-AB5D-615322C48EA2}"/>
            </a:ext>
          </a:extLst>
        </xdr:cNvPr>
        <xdr:cNvCxnSpPr/>
      </xdr:nvCxnSpPr>
      <xdr:spPr>
        <a:xfrm flipV="1">
          <a:off x="3603625" y="36036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19</xdr:row>
      <xdr:rowOff>66676</xdr:rowOff>
    </xdr:from>
    <xdr:to>
      <xdr:col>5</xdr:col>
      <xdr:colOff>0</xdr:colOff>
      <xdr:row>19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2A7353A-2A9B-4F7E-A890-E44F9469F3A0}"/>
            </a:ext>
          </a:extLst>
        </xdr:cNvPr>
        <xdr:cNvCxnSpPr/>
      </xdr:nvCxnSpPr>
      <xdr:spPr>
        <a:xfrm>
          <a:off x="3613150" y="36036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</xdr:row>
      <xdr:rowOff>114300</xdr:rowOff>
    </xdr:from>
    <xdr:to>
      <xdr:col>4</xdr:col>
      <xdr:colOff>342900</xdr:colOff>
      <xdr:row>37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F8210E4-36EA-4F7F-B242-5CAC0AA18E8B}"/>
            </a:ext>
          </a:extLst>
        </xdr:cNvPr>
        <xdr:cNvCxnSpPr/>
      </xdr:nvCxnSpPr>
      <xdr:spPr>
        <a:xfrm>
          <a:off x="3270250" y="69977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31</xdr:row>
      <xdr:rowOff>66675</xdr:rowOff>
    </xdr:from>
    <xdr:to>
      <xdr:col>4</xdr:col>
      <xdr:colOff>342900</xdr:colOff>
      <xdr:row>37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5E7BA37-F8CC-435F-B959-77A190DF53B2}"/>
            </a:ext>
          </a:extLst>
        </xdr:cNvPr>
        <xdr:cNvCxnSpPr/>
      </xdr:nvCxnSpPr>
      <xdr:spPr>
        <a:xfrm flipV="1">
          <a:off x="3603625" y="5838825"/>
          <a:ext cx="9525" cy="1158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31</xdr:row>
      <xdr:rowOff>66676</xdr:rowOff>
    </xdr:from>
    <xdr:to>
      <xdr:col>5</xdr:col>
      <xdr:colOff>0</xdr:colOff>
      <xdr:row>31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EC8614E-34FE-49B8-9309-A73D24640EC5}"/>
            </a:ext>
          </a:extLst>
        </xdr:cNvPr>
        <xdr:cNvCxnSpPr/>
      </xdr:nvCxnSpPr>
      <xdr:spPr>
        <a:xfrm>
          <a:off x="3613150" y="5838826"/>
          <a:ext cx="5016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30</xdr:col>
      <xdr:colOff>2553</xdr:colOff>
      <xdr:row>73</xdr:row>
      <xdr:rowOff>13987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6918C-C2D7-CEB5-2AC9-772E447B9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2214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29</xdr:col>
      <xdr:colOff>431152</xdr:colOff>
      <xdr:row>99</xdr:row>
      <xdr:rowOff>99107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B1B5DE-B123-EE5F-4060-861DDCCB7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07500"/>
          <a:ext cx="18109552" cy="48870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29</xdr:col>
      <xdr:colOff>602626</xdr:colOff>
      <xdr:row>130</xdr:row>
      <xdr:rowOff>162719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F21EEF-3E16-E17D-5141-A87B25F77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179550"/>
          <a:ext cx="18281026" cy="5687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30</xdr:col>
      <xdr:colOff>2553</xdr:colOff>
      <xdr:row>163</xdr:row>
      <xdr:rowOff>89735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69F89A-95D0-11BF-EA41-11266C0B8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888200"/>
          <a:ext cx="18290553" cy="5982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21</xdr:col>
      <xdr:colOff>506682</xdr:colOff>
      <xdr:row>30</xdr:row>
      <xdr:rowOff>67455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5F831E-19CC-F077-1BAE-F73696AC3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3308282" cy="55919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3</xdr:row>
          <xdr:rowOff>133350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BA34-81DA-4C89-9027-830872522528}">
  <dimension ref="A1:J40"/>
  <sheetViews>
    <sheetView workbookViewId="0"/>
  </sheetViews>
  <sheetFormatPr defaultRowHeight="14.5" x14ac:dyDescent="0.35"/>
  <cols>
    <col min="1" max="1" width="14.7265625" customWidth="1"/>
    <col min="2" max="2" width="11.453125" bestFit="1" customWidth="1"/>
    <col min="3" max="3" width="10.1796875" bestFit="1" customWidth="1"/>
    <col min="4" max="4" width="10.453125" bestFit="1" customWidth="1"/>
    <col min="5" max="5" width="12.08984375" bestFit="1" customWidth="1"/>
    <col min="6" max="6" width="17.7265625" bestFit="1" customWidth="1"/>
    <col min="7" max="7" width="12.26953125" customWidth="1"/>
    <col min="9" max="9" width="15.26953125" bestFit="1" customWidth="1"/>
    <col min="10" max="10" width="12.54296875" bestFit="1" customWidth="1"/>
    <col min="11" max="11" width="12.26953125" customWidth="1"/>
  </cols>
  <sheetData>
    <row r="1" spans="1:10" x14ac:dyDescent="0.35">
      <c r="A1" s="1" t="s">
        <v>9</v>
      </c>
      <c r="B1" s="2" t="s">
        <v>0</v>
      </c>
      <c r="C1" s="2"/>
      <c r="D1" s="2"/>
      <c r="E1" s="2"/>
      <c r="F1" s="2"/>
      <c r="G1" s="2"/>
      <c r="H1" s="2"/>
    </row>
    <row r="2" spans="1:10" x14ac:dyDescent="0.35">
      <c r="A2" s="3" t="s">
        <v>13</v>
      </c>
      <c r="B2" s="4">
        <f>G12</f>
        <v>12761.617621333335</v>
      </c>
      <c r="C2" s="2"/>
      <c r="D2" s="2"/>
      <c r="E2" s="2"/>
      <c r="F2" s="2"/>
      <c r="G2" s="2"/>
      <c r="H2" s="2"/>
    </row>
    <row r="3" spans="1:10" x14ac:dyDescent="0.35">
      <c r="A3" s="3" t="s">
        <v>14</v>
      </c>
      <c r="B3" s="4">
        <f>G24</f>
        <v>11764.773325333334</v>
      </c>
      <c r="C3" s="2"/>
      <c r="D3" s="2"/>
      <c r="E3" s="2"/>
      <c r="F3" s="2"/>
      <c r="G3" s="2"/>
      <c r="H3" s="2"/>
    </row>
    <row r="4" spans="1:10" x14ac:dyDescent="0.35">
      <c r="A4" s="3" t="s">
        <v>15</v>
      </c>
      <c r="B4" s="4">
        <f>G37</f>
        <v>13291.823725333335</v>
      </c>
      <c r="C4" s="2"/>
      <c r="D4" s="2"/>
      <c r="E4" s="2"/>
      <c r="F4" s="2"/>
      <c r="G4" s="2"/>
      <c r="H4" s="2"/>
    </row>
    <row r="5" spans="1:10" ht="15" thickBot="1" x14ac:dyDescent="0.4">
      <c r="A5" s="5" t="s">
        <v>1</v>
      </c>
      <c r="B5" s="6">
        <f>SUM(B2:B4)</f>
        <v>37818.214672000002</v>
      </c>
      <c r="C5" s="1" t="s">
        <v>34</v>
      </c>
      <c r="D5" s="2"/>
      <c r="E5" s="27">
        <f>B5*3</f>
        <v>113454.64401600001</v>
      </c>
      <c r="F5">
        <v>113454.64</v>
      </c>
      <c r="G5" s="2"/>
      <c r="H5" s="2"/>
    </row>
    <row r="6" spans="1:10" ht="15" thickTop="1" x14ac:dyDescent="0.35">
      <c r="A6" s="7"/>
      <c r="B6" s="8"/>
      <c r="C6" s="2"/>
      <c r="D6" s="2"/>
      <c r="E6" s="2"/>
      <c r="F6" s="2"/>
      <c r="G6" s="2"/>
      <c r="H6" s="2"/>
    </row>
    <row r="7" spans="1:10" x14ac:dyDescent="0.35">
      <c r="A7" s="1" t="s">
        <v>10</v>
      </c>
      <c r="B7" s="2"/>
      <c r="C7" s="2"/>
      <c r="D7" s="2"/>
      <c r="E7" s="2"/>
      <c r="F7" s="1"/>
      <c r="G7" s="2"/>
      <c r="H7" s="2"/>
    </row>
    <row r="8" spans="1:10" x14ac:dyDescent="0.35">
      <c r="A8" s="9" t="s">
        <v>2</v>
      </c>
      <c r="B8" s="9" t="s">
        <v>3</v>
      </c>
      <c r="C8" s="9" t="s">
        <v>4</v>
      </c>
      <c r="D8" s="9" t="s">
        <v>1</v>
      </c>
      <c r="E8" s="2"/>
      <c r="F8" s="10" t="s">
        <v>5</v>
      </c>
      <c r="G8" s="11">
        <f>D14</f>
        <v>7883.04</v>
      </c>
      <c r="H8" s="2"/>
      <c r="I8" s="12"/>
    </row>
    <row r="9" spans="1:10" x14ac:dyDescent="0.35">
      <c r="A9" s="13" t="s">
        <v>16</v>
      </c>
      <c r="B9" s="9">
        <v>40</v>
      </c>
      <c r="C9" s="14">
        <v>44.79</v>
      </c>
      <c r="D9" s="15">
        <f>B9*C9</f>
        <v>1791.6</v>
      </c>
      <c r="E9" s="2"/>
      <c r="F9" s="10" t="s">
        <v>31</v>
      </c>
      <c r="G9" s="11">
        <f>G8*0.4797</f>
        <v>3781.4942880000003</v>
      </c>
      <c r="H9" s="2"/>
    </row>
    <row r="10" spans="1:10" x14ac:dyDescent="0.35">
      <c r="A10" s="13" t="s">
        <v>17</v>
      </c>
      <c r="B10" s="9">
        <v>40</v>
      </c>
      <c r="C10" s="14">
        <v>44.79</v>
      </c>
      <c r="D10" s="15">
        <f>B10*C10</f>
        <v>1791.6</v>
      </c>
      <c r="E10" s="2"/>
      <c r="F10" s="10" t="s">
        <v>6</v>
      </c>
      <c r="G10" s="11">
        <f>10165/12*1</f>
        <v>847.08333333333337</v>
      </c>
      <c r="H10" s="16" t="s">
        <v>32</v>
      </c>
    </row>
    <row r="11" spans="1:10" x14ac:dyDescent="0.35">
      <c r="A11" s="13" t="s">
        <v>18</v>
      </c>
      <c r="B11" s="9">
        <v>40</v>
      </c>
      <c r="C11" s="14">
        <v>44.79</v>
      </c>
      <c r="D11" s="15">
        <f>B11*C11</f>
        <v>1791.6</v>
      </c>
      <c r="E11" s="2"/>
      <c r="F11" s="10" t="s">
        <v>7</v>
      </c>
      <c r="G11" s="11">
        <f>3000/12*1</f>
        <v>250</v>
      </c>
      <c r="H11" s="16" t="s">
        <v>33</v>
      </c>
    </row>
    <row r="12" spans="1:10" ht="15" thickBot="1" x14ac:dyDescent="0.4">
      <c r="A12" s="13" t="s">
        <v>19</v>
      </c>
      <c r="B12" s="9">
        <v>40</v>
      </c>
      <c r="C12" s="14">
        <v>44.79</v>
      </c>
      <c r="D12" s="15">
        <f>B12*C12</f>
        <v>1791.6</v>
      </c>
      <c r="E12" s="2"/>
      <c r="F12" s="7" t="s">
        <v>1</v>
      </c>
      <c r="G12" s="17">
        <f>SUM(G8:G11)</f>
        <v>12761.617621333335</v>
      </c>
      <c r="H12" s="18"/>
      <c r="J12" s="12"/>
    </row>
    <row r="13" spans="1:10" ht="15" thickTop="1" x14ac:dyDescent="0.35">
      <c r="A13" s="13" t="s">
        <v>20</v>
      </c>
      <c r="B13" s="9">
        <v>16</v>
      </c>
      <c r="C13" s="14">
        <v>44.79</v>
      </c>
      <c r="D13" s="15">
        <f>B13*C13</f>
        <v>716.64</v>
      </c>
      <c r="E13" s="2"/>
      <c r="F13" s="7"/>
      <c r="G13" s="8"/>
      <c r="H13" s="18"/>
      <c r="J13" s="12"/>
    </row>
    <row r="14" spans="1:10" ht="15" thickBot="1" x14ac:dyDescent="0.4">
      <c r="A14" s="19"/>
      <c r="B14" s="2"/>
      <c r="C14" s="7" t="s">
        <v>8</v>
      </c>
      <c r="D14" s="20">
        <f>SUM(D9:D13)</f>
        <v>7883.04</v>
      </c>
      <c r="E14" s="2"/>
      <c r="F14" s="2"/>
      <c r="G14" s="2"/>
      <c r="H14" s="2"/>
    </row>
    <row r="15" spans="1:10" ht="15" thickTop="1" x14ac:dyDescent="0.35">
      <c r="A15" s="19"/>
      <c r="B15" s="2"/>
      <c r="C15" s="7"/>
      <c r="D15" s="21"/>
      <c r="E15" s="2"/>
      <c r="F15" s="2"/>
      <c r="G15" s="2"/>
      <c r="H15" s="2"/>
    </row>
    <row r="16" spans="1:10" x14ac:dyDescent="0.35">
      <c r="A16" s="19"/>
      <c r="B16" s="2"/>
      <c r="C16" s="7"/>
      <c r="D16" s="21"/>
      <c r="E16" s="2"/>
      <c r="F16" s="2"/>
      <c r="G16" s="2"/>
      <c r="H16" s="2"/>
    </row>
    <row r="18" spans="1:8" x14ac:dyDescent="0.35">
      <c r="A18" s="1" t="s">
        <v>11</v>
      </c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1"/>
      <c r="G19" s="2"/>
      <c r="H19" s="2"/>
    </row>
    <row r="20" spans="1:8" x14ac:dyDescent="0.35">
      <c r="A20" s="9" t="s">
        <v>2</v>
      </c>
      <c r="B20" s="9" t="s">
        <v>3</v>
      </c>
      <c r="C20" s="9" t="s">
        <v>4</v>
      </c>
      <c r="D20" s="9" t="s">
        <v>1</v>
      </c>
      <c r="E20" s="2"/>
      <c r="F20" s="10" t="s">
        <v>5</v>
      </c>
      <c r="G20" s="11">
        <f>D26</f>
        <v>7209.36</v>
      </c>
      <c r="H20" s="2"/>
    </row>
    <row r="21" spans="1:8" x14ac:dyDescent="0.35">
      <c r="A21" s="13" t="s">
        <v>21</v>
      </c>
      <c r="B21" s="9">
        <v>24</v>
      </c>
      <c r="C21" s="14">
        <v>46.58</v>
      </c>
      <c r="D21" s="15">
        <f>B21*C21</f>
        <v>1117.92</v>
      </c>
      <c r="E21" s="2"/>
      <c r="F21" s="10" t="s">
        <v>31</v>
      </c>
      <c r="G21" s="11">
        <f>G20*0.4797</f>
        <v>3458.3299919999999</v>
      </c>
      <c r="H21" s="18"/>
    </row>
    <row r="22" spans="1:8" x14ac:dyDescent="0.35">
      <c r="A22" s="13" t="s">
        <v>22</v>
      </c>
      <c r="B22" s="9">
        <v>40</v>
      </c>
      <c r="C22" s="14">
        <v>44.79</v>
      </c>
      <c r="D22" s="15">
        <f>B22*C22</f>
        <v>1791.6</v>
      </c>
      <c r="E22" s="2"/>
      <c r="F22" s="10" t="s">
        <v>6</v>
      </c>
      <c r="G22" s="11">
        <f>10165/12*1</f>
        <v>847.08333333333337</v>
      </c>
      <c r="H22" s="16" t="s">
        <v>32</v>
      </c>
    </row>
    <row r="23" spans="1:8" x14ac:dyDescent="0.35">
      <c r="A23" s="13" t="s">
        <v>23</v>
      </c>
      <c r="B23" s="9">
        <v>40</v>
      </c>
      <c r="C23" s="14">
        <v>44.79</v>
      </c>
      <c r="D23" s="15">
        <f>B23*C23</f>
        <v>1791.6</v>
      </c>
      <c r="E23" s="2"/>
      <c r="F23" s="10" t="s">
        <v>7</v>
      </c>
      <c r="G23" s="11">
        <f>3000/12*1</f>
        <v>250</v>
      </c>
      <c r="H23" s="16" t="s">
        <v>33</v>
      </c>
    </row>
    <row r="24" spans="1:8" ht="15" thickBot="1" x14ac:dyDescent="0.4">
      <c r="A24" s="13" t="s">
        <v>24</v>
      </c>
      <c r="B24" s="9">
        <v>40</v>
      </c>
      <c r="C24" s="14">
        <v>44.79</v>
      </c>
      <c r="D24" s="15">
        <f>B24*C24</f>
        <v>1791.6</v>
      </c>
      <c r="E24" s="2"/>
      <c r="F24" s="7" t="s">
        <v>1</v>
      </c>
      <c r="G24" s="17">
        <f>SUM(G20:G23)</f>
        <v>11764.773325333334</v>
      </c>
      <c r="H24" s="2"/>
    </row>
    <row r="25" spans="1:8" ht="15" thickTop="1" x14ac:dyDescent="0.35">
      <c r="A25" s="13" t="s">
        <v>25</v>
      </c>
      <c r="B25" s="9">
        <v>16</v>
      </c>
      <c r="C25" s="14">
        <v>44.79</v>
      </c>
      <c r="D25" s="15">
        <f>B25*C25</f>
        <v>716.64</v>
      </c>
      <c r="E25" s="2"/>
      <c r="F25" s="7"/>
      <c r="G25" s="8"/>
      <c r="H25" s="2"/>
    </row>
    <row r="26" spans="1:8" ht="15" thickBot="1" x14ac:dyDescent="0.4">
      <c r="A26" s="19"/>
      <c r="B26" s="2"/>
      <c r="C26" s="7" t="s">
        <v>8</v>
      </c>
      <c r="D26" s="20">
        <f>SUM(D21:D25)</f>
        <v>7209.36</v>
      </c>
      <c r="E26" s="2"/>
      <c r="F26" s="2"/>
      <c r="G26" s="2"/>
      <c r="H26" s="2"/>
    </row>
    <row r="27" spans="1:8" ht="15" thickTop="1" x14ac:dyDescent="0.35">
      <c r="A27" s="19"/>
      <c r="B27" s="2"/>
      <c r="C27" s="7"/>
      <c r="D27" s="21"/>
      <c r="E27" s="2"/>
      <c r="F27" s="2"/>
      <c r="G27" s="2"/>
      <c r="H27" s="2"/>
    </row>
    <row r="28" spans="1:8" x14ac:dyDescent="0.35">
      <c r="A28" s="19"/>
      <c r="B28" s="2"/>
      <c r="C28" s="7"/>
      <c r="D28" s="21"/>
      <c r="E28" s="2"/>
      <c r="F28" s="2"/>
      <c r="G28" s="2"/>
      <c r="H28" s="2"/>
    </row>
    <row r="30" spans="1:8" x14ac:dyDescent="0.35">
      <c r="A30" s="1" t="s">
        <v>12</v>
      </c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1"/>
      <c r="G31" s="2"/>
      <c r="H31" s="2"/>
    </row>
    <row r="32" spans="1:8" x14ac:dyDescent="0.35">
      <c r="A32" s="9" t="s">
        <v>2</v>
      </c>
      <c r="B32" s="9" t="s">
        <v>3</v>
      </c>
      <c r="C32" s="9" t="s">
        <v>4</v>
      </c>
      <c r="D32" s="9" t="s">
        <v>1</v>
      </c>
      <c r="E32" s="2"/>
      <c r="F32" s="10" t="s">
        <v>5</v>
      </c>
      <c r="G32" s="11">
        <f>D38</f>
        <v>8241.36</v>
      </c>
      <c r="H32" s="2"/>
    </row>
    <row r="33" spans="1:8" x14ac:dyDescent="0.35">
      <c r="A33" s="13" t="s">
        <v>26</v>
      </c>
      <c r="B33" s="9">
        <v>24</v>
      </c>
      <c r="C33" s="14">
        <v>44.79</v>
      </c>
      <c r="D33" s="15">
        <f>B33*C33</f>
        <v>1074.96</v>
      </c>
      <c r="E33" s="2"/>
      <c r="F33" s="10" t="s">
        <v>31</v>
      </c>
      <c r="G33" s="11">
        <f>G32*0.4797</f>
        <v>3953.3803920000005</v>
      </c>
      <c r="H33" s="2"/>
    </row>
    <row r="34" spans="1:8" x14ac:dyDescent="0.35">
      <c r="A34" s="13" t="s">
        <v>27</v>
      </c>
      <c r="B34" s="9">
        <v>40</v>
      </c>
      <c r="C34" s="14">
        <v>44.79</v>
      </c>
      <c r="D34" s="15">
        <f>B34*C34</f>
        <v>1791.6</v>
      </c>
      <c r="E34" s="2"/>
      <c r="F34" s="10" t="s">
        <v>6</v>
      </c>
      <c r="G34" s="11">
        <f>10165/12*1</f>
        <v>847.08333333333337</v>
      </c>
      <c r="H34" s="16" t="s">
        <v>32</v>
      </c>
    </row>
    <row r="35" spans="1:8" x14ac:dyDescent="0.35">
      <c r="A35" s="13" t="s">
        <v>28</v>
      </c>
      <c r="B35" s="9">
        <v>40</v>
      </c>
      <c r="C35" s="14">
        <v>44.79</v>
      </c>
      <c r="D35" s="15">
        <f>B35*C35</f>
        <v>1791.6</v>
      </c>
      <c r="E35" s="2"/>
      <c r="F35" s="10" t="s">
        <v>7</v>
      </c>
      <c r="G35" s="11">
        <f>3000/12*1</f>
        <v>250</v>
      </c>
      <c r="H35" s="16" t="s">
        <v>33</v>
      </c>
    </row>
    <row r="36" spans="1:8" x14ac:dyDescent="0.35">
      <c r="A36" s="13" t="s">
        <v>29</v>
      </c>
      <c r="B36" s="9">
        <v>40</v>
      </c>
      <c r="C36" s="14">
        <v>44.79</v>
      </c>
      <c r="D36" s="15">
        <f>B36*C36</f>
        <v>1791.6</v>
      </c>
      <c r="E36" s="2"/>
      <c r="F36" s="22"/>
      <c r="G36" s="23"/>
      <c r="H36" s="16"/>
    </row>
    <row r="37" spans="1:8" ht="15" thickBot="1" x14ac:dyDescent="0.4">
      <c r="A37" s="13" t="s">
        <v>30</v>
      </c>
      <c r="B37" s="9">
        <v>40</v>
      </c>
      <c r="C37" s="14">
        <v>44.79</v>
      </c>
      <c r="D37" s="15">
        <f>B37*C37</f>
        <v>1791.6</v>
      </c>
      <c r="E37" s="2"/>
      <c r="F37" s="7" t="s">
        <v>1</v>
      </c>
      <c r="G37" s="17">
        <f>SUM(G32:G35)</f>
        <v>13291.823725333335</v>
      </c>
      <c r="H37" s="16"/>
    </row>
    <row r="38" spans="1:8" ht="15.5" thickTop="1" thickBot="1" x14ac:dyDescent="0.4">
      <c r="A38" s="19"/>
      <c r="B38" s="2"/>
      <c r="C38" s="7" t="s">
        <v>8</v>
      </c>
      <c r="D38" s="24">
        <f>SUM(D33:D37)</f>
        <v>8241.36</v>
      </c>
      <c r="E38" s="2"/>
      <c r="F38" s="7"/>
      <c r="G38" s="8"/>
      <c r="H38" s="2"/>
    </row>
    <row r="39" spans="1:8" ht="15" thickTop="1" x14ac:dyDescent="0.35">
      <c r="F39" s="25"/>
    </row>
    <row r="40" spans="1:8" x14ac:dyDescent="0.35">
      <c r="G40" s="2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5917-2943-40DD-A424-2B5C6C4D681B}">
  <dimension ref="A1:J40"/>
  <sheetViews>
    <sheetView tabSelected="1" workbookViewId="0"/>
  </sheetViews>
  <sheetFormatPr defaultRowHeight="14.5" x14ac:dyDescent="0.35"/>
  <cols>
    <col min="1" max="1" width="14.7265625" customWidth="1"/>
    <col min="2" max="2" width="11.453125" bestFit="1" customWidth="1"/>
    <col min="3" max="3" width="10.1796875" bestFit="1" customWidth="1"/>
    <col min="4" max="4" width="10.453125" bestFit="1" customWidth="1"/>
    <col min="5" max="5" width="12.08984375" bestFit="1" customWidth="1"/>
    <col min="6" max="6" width="19" bestFit="1" customWidth="1"/>
    <col min="7" max="7" width="12.26953125" customWidth="1"/>
    <col min="9" max="9" width="15.26953125" bestFit="1" customWidth="1"/>
    <col min="10" max="10" width="12.54296875" bestFit="1" customWidth="1"/>
    <col min="11" max="11" width="12.26953125" customWidth="1"/>
  </cols>
  <sheetData>
    <row r="1" spans="1:10" x14ac:dyDescent="0.35">
      <c r="A1" s="1" t="s">
        <v>9</v>
      </c>
      <c r="B1" s="2" t="s">
        <v>0</v>
      </c>
      <c r="C1" s="2"/>
      <c r="D1" s="2"/>
      <c r="E1" s="2"/>
      <c r="F1" s="2"/>
      <c r="G1" s="2"/>
      <c r="H1" s="2"/>
    </row>
    <row r="2" spans="1:10" x14ac:dyDescent="0.35">
      <c r="A2" s="3" t="s">
        <v>42</v>
      </c>
      <c r="B2" s="4">
        <f>G12</f>
        <v>11701.205413333333</v>
      </c>
      <c r="C2" s="2"/>
      <c r="D2" s="2"/>
      <c r="E2" s="2"/>
      <c r="F2" s="2"/>
      <c r="G2" s="2"/>
      <c r="H2" s="2"/>
    </row>
    <row r="3" spans="1:10" x14ac:dyDescent="0.35">
      <c r="A3" s="3" t="s">
        <v>43</v>
      </c>
      <c r="B3" s="4">
        <f>G24</f>
        <v>13291.823725333335</v>
      </c>
      <c r="C3" s="2"/>
      <c r="D3" s="2"/>
      <c r="E3" s="2"/>
      <c r="F3" s="30" t="s">
        <v>58</v>
      </c>
      <c r="G3" s="2"/>
      <c r="H3" s="2"/>
    </row>
    <row r="4" spans="1:10" x14ac:dyDescent="0.35">
      <c r="A4" s="3" t="s">
        <v>44</v>
      </c>
      <c r="B4" s="4">
        <f>G37</f>
        <v>12761.617621333335</v>
      </c>
      <c r="C4" s="2"/>
      <c r="D4" s="2"/>
      <c r="E4" s="2"/>
      <c r="F4" s="29" t="s">
        <v>55</v>
      </c>
      <c r="G4" s="28" t="s">
        <v>56</v>
      </c>
      <c r="H4" s="28"/>
    </row>
    <row r="5" spans="1:10" ht="15" thickBot="1" x14ac:dyDescent="0.4">
      <c r="A5" s="5" t="s">
        <v>1</v>
      </c>
      <c r="B5" s="6">
        <f>SUM(B2:B4)</f>
        <v>37754.646760000003</v>
      </c>
      <c r="C5" s="1" t="s">
        <v>57</v>
      </c>
      <c r="D5" s="2"/>
      <c r="E5" s="27">
        <f>B5*3</f>
        <v>113263.94028000001</v>
      </c>
      <c r="F5" s="31">
        <v>-190.7</v>
      </c>
      <c r="G5" s="27">
        <f>E5+F5</f>
        <v>113073.24028000001</v>
      </c>
      <c r="H5" s="2"/>
    </row>
    <row r="6" spans="1:10" ht="15" thickTop="1" x14ac:dyDescent="0.35">
      <c r="A6" s="7"/>
      <c r="B6" s="8"/>
      <c r="C6" s="2"/>
      <c r="D6" s="2"/>
      <c r="E6" s="2"/>
      <c r="F6" s="2"/>
      <c r="G6" s="2"/>
      <c r="H6" s="2"/>
    </row>
    <row r="7" spans="1:10" x14ac:dyDescent="0.35">
      <c r="A7" s="1" t="s">
        <v>35</v>
      </c>
      <c r="B7" s="2"/>
      <c r="C7" s="2"/>
      <c r="D7" s="2"/>
      <c r="E7" s="2"/>
      <c r="F7" s="1"/>
      <c r="G7" s="2"/>
      <c r="H7" s="2"/>
    </row>
    <row r="8" spans="1:10" x14ac:dyDescent="0.35">
      <c r="A8" s="9" t="s">
        <v>2</v>
      </c>
      <c r="B8" s="9" t="s">
        <v>3</v>
      </c>
      <c r="C8" s="9" t="s">
        <v>4</v>
      </c>
      <c r="D8" s="9" t="s">
        <v>1</v>
      </c>
      <c r="E8" s="2"/>
      <c r="F8" s="10" t="s">
        <v>5</v>
      </c>
      <c r="G8" s="11">
        <f>D14</f>
        <v>7166.4</v>
      </c>
      <c r="H8" s="2"/>
      <c r="I8" s="12"/>
    </row>
    <row r="9" spans="1:10" x14ac:dyDescent="0.35">
      <c r="A9" s="13" t="s">
        <v>38</v>
      </c>
      <c r="B9" s="9">
        <v>40</v>
      </c>
      <c r="C9" s="14">
        <v>44.79</v>
      </c>
      <c r="D9" s="15">
        <f>B9*C9</f>
        <v>1791.6</v>
      </c>
      <c r="E9" s="2"/>
      <c r="F9" s="10" t="s">
        <v>31</v>
      </c>
      <c r="G9" s="11">
        <f>G8*0.4797</f>
        <v>3437.72208</v>
      </c>
      <c r="H9" s="2"/>
    </row>
    <row r="10" spans="1:10" x14ac:dyDescent="0.35">
      <c r="A10" s="13" t="s">
        <v>39</v>
      </c>
      <c r="B10" s="9">
        <v>40</v>
      </c>
      <c r="C10" s="14">
        <v>44.79</v>
      </c>
      <c r="D10" s="15">
        <f>B10*C10</f>
        <v>1791.6</v>
      </c>
      <c r="E10" s="2"/>
      <c r="F10" s="10" t="s">
        <v>6</v>
      </c>
      <c r="G10" s="11">
        <f>10165/12*1</f>
        <v>847.08333333333337</v>
      </c>
      <c r="H10" s="16" t="s">
        <v>32</v>
      </c>
    </row>
    <row r="11" spans="1:10" x14ac:dyDescent="0.35">
      <c r="A11" s="13" t="s">
        <v>40</v>
      </c>
      <c r="B11" s="9">
        <v>40</v>
      </c>
      <c r="C11" s="14">
        <v>44.79</v>
      </c>
      <c r="D11" s="15">
        <f>B11*C11</f>
        <v>1791.6</v>
      </c>
      <c r="E11" s="2"/>
      <c r="F11" s="10" t="s">
        <v>7</v>
      </c>
      <c r="G11" s="11">
        <f>3000/12*1</f>
        <v>250</v>
      </c>
      <c r="H11" s="16" t="s">
        <v>33</v>
      </c>
    </row>
    <row r="12" spans="1:10" ht="15" thickBot="1" x14ac:dyDescent="0.4">
      <c r="A12" s="13" t="s">
        <v>41</v>
      </c>
      <c r="B12" s="9">
        <v>40</v>
      </c>
      <c r="C12" s="14">
        <v>44.79</v>
      </c>
      <c r="D12" s="15">
        <f>B12*C12</f>
        <v>1791.6</v>
      </c>
      <c r="E12" s="2"/>
      <c r="F12" s="7" t="s">
        <v>1</v>
      </c>
      <c r="G12" s="17">
        <f>SUM(G8:G11)</f>
        <v>11701.205413333333</v>
      </c>
      <c r="H12" s="18"/>
      <c r="J12" s="12"/>
    </row>
    <row r="13" spans="1:10" ht="15" thickTop="1" x14ac:dyDescent="0.35">
      <c r="A13" s="13"/>
      <c r="B13" s="9">
        <v>0</v>
      </c>
      <c r="C13" s="14">
        <v>44.79</v>
      </c>
      <c r="D13" s="15">
        <f>B13*C13</f>
        <v>0</v>
      </c>
      <c r="E13" s="2"/>
      <c r="F13" s="7"/>
      <c r="G13" s="8"/>
      <c r="H13" s="18"/>
      <c r="J13" s="12"/>
    </row>
    <row r="14" spans="1:10" ht="15" thickBot="1" x14ac:dyDescent="0.4">
      <c r="A14" s="19"/>
      <c r="B14" s="2"/>
      <c r="C14" s="7" t="s">
        <v>8</v>
      </c>
      <c r="D14" s="20">
        <f>SUM(D9:D13)</f>
        <v>7166.4</v>
      </c>
      <c r="E14" s="2"/>
      <c r="F14" s="2"/>
      <c r="G14" s="2"/>
      <c r="H14" s="2"/>
    </row>
    <row r="15" spans="1:10" ht="15" thickTop="1" x14ac:dyDescent="0.35">
      <c r="A15" s="19"/>
      <c r="B15" s="2"/>
      <c r="C15" s="7"/>
      <c r="D15" s="21"/>
      <c r="E15" s="2"/>
      <c r="F15" s="2"/>
      <c r="G15" s="2"/>
      <c r="H15" s="2"/>
    </row>
    <row r="16" spans="1:10" x14ac:dyDescent="0.35">
      <c r="A16" s="19"/>
      <c r="B16" s="2"/>
      <c r="C16" s="7"/>
      <c r="D16" s="21"/>
      <c r="E16" s="2"/>
      <c r="F16" s="2"/>
      <c r="G16" s="2"/>
      <c r="H16" s="2"/>
    </row>
    <row r="18" spans="1:8" x14ac:dyDescent="0.35">
      <c r="A18" s="1" t="s">
        <v>36</v>
      </c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1"/>
      <c r="G19" s="2"/>
      <c r="H19" s="2"/>
    </row>
    <row r="20" spans="1:8" x14ac:dyDescent="0.35">
      <c r="A20" s="9" t="s">
        <v>2</v>
      </c>
      <c r="B20" s="9" t="s">
        <v>3</v>
      </c>
      <c r="C20" s="9" t="s">
        <v>4</v>
      </c>
      <c r="D20" s="9" t="s">
        <v>1</v>
      </c>
      <c r="E20" s="2"/>
      <c r="F20" s="10" t="s">
        <v>5</v>
      </c>
      <c r="G20" s="11">
        <f>D26</f>
        <v>8241.36</v>
      </c>
      <c r="H20" s="2"/>
    </row>
    <row r="21" spans="1:8" x14ac:dyDescent="0.35">
      <c r="A21" s="13" t="s">
        <v>45</v>
      </c>
      <c r="B21" s="9">
        <v>40</v>
      </c>
      <c r="C21" s="14">
        <v>44.79</v>
      </c>
      <c r="D21" s="15">
        <f>B21*C21</f>
        <v>1791.6</v>
      </c>
      <c r="E21" s="2"/>
      <c r="F21" s="10" t="s">
        <v>31</v>
      </c>
      <c r="G21" s="11">
        <f>G20*0.4797</f>
        <v>3953.3803920000005</v>
      </c>
      <c r="H21" s="18"/>
    </row>
    <row r="22" spans="1:8" x14ac:dyDescent="0.35">
      <c r="A22" s="13" t="s">
        <v>46</v>
      </c>
      <c r="B22" s="9">
        <v>40</v>
      </c>
      <c r="C22" s="14">
        <v>44.79</v>
      </c>
      <c r="D22" s="15">
        <f>B22*C22</f>
        <v>1791.6</v>
      </c>
      <c r="E22" s="2"/>
      <c r="F22" s="10" t="s">
        <v>6</v>
      </c>
      <c r="G22" s="11">
        <f>10165/12*1</f>
        <v>847.08333333333337</v>
      </c>
      <c r="H22" s="16" t="s">
        <v>32</v>
      </c>
    </row>
    <row r="23" spans="1:8" x14ac:dyDescent="0.35">
      <c r="A23" s="13" t="s">
        <v>47</v>
      </c>
      <c r="B23" s="9">
        <v>40</v>
      </c>
      <c r="C23" s="14">
        <v>44.79</v>
      </c>
      <c r="D23" s="15">
        <f>B23*C23</f>
        <v>1791.6</v>
      </c>
      <c r="E23" s="2"/>
      <c r="F23" s="10" t="s">
        <v>7</v>
      </c>
      <c r="G23" s="11">
        <f>3000/12*1</f>
        <v>250</v>
      </c>
      <c r="H23" s="16" t="s">
        <v>33</v>
      </c>
    </row>
    <row r="24" spans="1:8" ht="15" thickBot="1" x14ac:dyDescent="0.4">
      <c r="A24" s="13" t="s">
        <v>48</v>
      </c>
      <c r="B24" s="9">
        <v>40</v>
      </c>
      <c r="C24" s="14">
        <v>44.79</v>
      </c>
      <c r="D24" s="15">
        <f>B24*C24</f>
        <v>1791.6</v>
      </c>
      <c r="E24" s="2"/>
      <c r="F24" s="7" t="s">
        <v>1</v>
      </c>
      <c r="G24" s="17">
        <f>SUM(G20:G23)</f>
        <v>13291.823725333335</v>
      </c>
      <c r="H24" s="2"/>
    </row>
    <row r="25" spans="1:8" ht="15" thickTop="1" x14ac:dyDescent="0.35">
      <c r="A25" s="13" t="s">
        <v>49</v>
      </c>
      <c r="B25" s="9">
        <v>24</v>
      </c>
      <c r="C25" s="14">
        <v>44.79</v>
      </c>
      <c r="D25" s="15">
        <f>B25*C25</f>
        <v>1074.96</v>
      </c>
      <c r="E25" s="2"/>
      <c r="F25" s="7"/>
      <c r="G25" s="8"/>
      <c r="H25" s="2"/>
    </row>
    <row r="26" spans="1:8" ht="15" thickBot="1" x14ac:dyDescent="0.4">
      <c r="A26" s="19"/>
      <c r="B26" s="2"/>
      <c r="C26" s="7" t="s">
        <v>8</v>
      </c>
      <c r="D26" s="20">
        <f>SUM(D21:D25)</f>
        <v>8241.36</v>
      </c>
      <c r="E26" s="2"/>
      <c r="F26" s="2"/>
      <c r="G26" s="2"/>
      <c r="H26" s="2"/>
    </row>
    <row r="27" spans="1:8" ht="15" thickTop="1" x14ac:dyDescent="0.35">
      <c r="A27" s="19"/>
      <c r="B27" s="2"/>
      <c r="C27" s="7"/>
      <c r="D27" s="21"/>
      <c r="E27" s="2"/>
      <c r="F27" s="2"/>
      <c r="G27" s="2"/>
      <c r="H27" s="2"/>
    </row>
    <row r="28" spans="1:8" x14ac:dyDescent="0.35">
      <c r="A28" s="19"/>
      <c r="B28" s="2"/>
      <c r="C28" s="7"/>
      <c r="D28" s="21"/>
      <c r="E28" s="2"/>
      <c r="F28" s="2"/>
      <c r="G28" s="2"/>
      <c r="H28" s="2"/>
    </row>
    <row r="30" spans="1:8" x14ac:dyDescent="0.35">
      <c r="A30" s="1" t="s">
        <v>37</v>
      </c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1"/>
      <c r="G31" s="2"/>
      <c r="H31" s="2"/>
    </row>
    <row r="32" spans="1:8" x14ac:dyDescent="0.35">
      <c r="A32" s="9" t="s">
        <v>2</v>
      </c>
      <c r="B32" s="9" t="s">
        <v>3</v>
      </c>
      <c r="C32" s="9" t="s">
        <v>4</v>
      </c>
      <c r="D32" s="9" t="s">
        <v>1</v>
      </c>
      <c r="E32" s="2"/>
      <c r="F32" s="10" t="s">
        <v>5</v>
      </c>
      <c r="G32" s="11">
        <f>D38</f>
        <v>7883.0400000000009</v>
      </c>
      <c r="H32" s="2"/>
    </row>
    <row r="33" spans="1:8" x14ac:dyDescent="0.35">
      <c r="A33" s="13" t="s">
        <v>50</v>
      </c>
      <c r="B33" s="9">
        <v>16</v>
      </c>
      <c r="C33" s="14">
        <v>44.79</v>
      </c>
      <c r="D33" s="15">
        <f>B33*C33</f>
        <v>716.64</v>
      </c>
      <c r="E33" s="2"/>
      <c r="F33" s="10" t="s">
        <v>31</v>
      </c>
      <c r="G33" s="11">
        <f>G32*0.4797</f>
        <v>3781.4942880000003</v>
      </c>
      <c r="H33" s="2"/>
    </row>
    <row r="34" spans="1:8" x14ac:dyDescent="0.35">
      <c r="A34" s="13" t="s">
        <v>51</v>
      </c>
      <c r="B34" s="9">
        <v>40</v>
      </c>
      <c r="C34" s="14">
        <v>44.79</v>
      </c>
      <c r="D34" s="15">
        <f>B34*C34</f>
        <v>1791.6</v>
      </c>
      <c r="E34" s="2"/>
      <c r="F34" s="10" t="s">
        <v>6</v>
      </c>
      <c r="G34" s="11">
        <f>10165/12*1</f>
        <v>847.08333333333337</v>
      </c>
      <c r="H34" s="16" t="s">
        <v>32</v>
      </c>
    </row>
    <row r="35" spans="1:8" x14ac:dyDescent="0.35">
      <c r="A35" s="13" t="s">
        <v>52</v>
      </c>
      <c r="B35" s="9">
        <v>40</v>
      </c>
      <c r="C35" s="14">
        <v>44.79</v>
      </c>
      <c r="D35" s="15">
        <f>B35*C35</f>
        <v>1791.6</v>
      </c>
      <c r="E35" s="2"/>
      <c r="F35" s="10" t="s">
        <v>7</v>
      </c>
      <c r="G35" s="11">
        <f>3000/12*1</f>
        <v>250</v>
      </c>
      <c r="H35" s="16" t="s">
        <v>33</v>
      </c>
    </row>
    <row r="36" spans="1:8" x14ac:dyDescent="0.35">
      <c r="A36" s="13" t="s">
        <v>53</v>
      </c>
      <c r="B36" s="9">
        <v>40</v>
      </c>
      <c r="C36" s="14">
        <v>44.79</v>
      </c>
      <c r="D36" s="15">
        <f>B36*C36</f>
        <v>1791.6</v>
      </c>
      <c r="E36" s="2"/>
      <c r="F36" s="22"/>
      <c r="G36" s="23"/>
      <c r="H36" s="16"/>
    </row>
    <row r="37" spans="1:8" ht="15" thickBot="1" x14ac:dyDescent="0.4">
      <c r="A37" s="13" t="s">
        <v>54</v>
      </c>
      <c r="B37" s="9">
        <v>40</v>
      </c>
      <c r="C37" s="14">
        <v>44.79</v>
      </c>
      <c r="D37" s="15">
        <f>B37*C37</f>
        <v>1791.6</v>
      </c>
      <c r="E37" s="2"/>
      <c r="F37" s="7" t="s">
        <v>1</v>
      </c>
      <c r="G37" s="17">
        <f>SUM(G32:G35)</f>
        <v>12761.617621333335</v>
      </c>
      <c r="H37" s="16"/>
    </row>
    <row r="38" spans="1:8" ht="15.5" thickTop="1" thickBot="1" x14ac:dyDescent="0.4">
      <c r="A38" s="19"/>
      <c r="B38" s="2"/>
      <c r="C38" s="7" t="s">
        <v>8</v>
      </c>
      <c r="D38" s="24">
        <f>SUM(D33:D37)</f>
        <v>7883.0400000000009</v>
      </c>
      <c r="E38" s="2"/>
      <c r="F38" s="7"/>
      <c r="G38" s="8"/>
      <c r="H38" s="2"/>
    </row>
    <row r="39" spans="1:8" ht="15" thickTop="1" x14ac:dyDescent="0.35">
      <c r="F39" s="25"/>
    </row>
    <row r="40" spans="1:8" x14ac:dyDescent="0.35">
      <c r="G40" s="2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29BC-90CA-475F-9A02-7B1CD65DAA6B}">
  <dimension ref="A1:A23"/>
  <sheetViews>
    <sheetView workbookViewId="0">
      <selection sqref="A1:A1048576"/>
    </sheetView>
  </sheetViews>
  <sheetFormatPr defaultRowHeight="14.5" x14ac:dyDescent="0.35"/>
  <cols>
    <col min="1" max="1" width="8.7265625" customWidth="1"/>
  </cols>
  <sheetData>
    <row r="1" customFormat="1" x14ac:dyDescent="0.35"/>
    <row r="2" customFormat="1" x14ac:dyDescent="0.35"/>
    <row r="3" customFormat="1" x14ac:dyDescent="0.35"/>
    <row r="4" customFormat="1" x14ac:dyDescent="0.35"/>
    <row r="5" customFormat="1" x14ac:dyDescent="0.35"/>
    <row r="6" customFormat="1" x14ac:dyDescent="0.35"/>
    <row r="7" customFormat="1" x14ac:dyDescent="0.35"/>
    <row r="8" customFormat="1" x14ac:dyDescent="0.35"/>
    <row r="9" customFormat="1" x14ac:dyDescent="0.35"/>
    <row r="10" customFormat="1" x14ac:dyDescent="0.35"/>
    <row r="11" customFormat="1" x14ac:dyDescent="0.35"/>
    <row r="12" customFormat="1" x14ac:dyDescent="0.35"/>
    <row r="13" customFormat="1" x14ac:dyDescent="0.35"/>
    <row r="14" customFormat="1" x14ac:dyDescent="0.35"/>
    <row r="15" customFormat="1" x14ac:dyDescent="0.35"/>
    <row r="16" customFormat="1" x14ac:dyDescent="0.35"/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427A-2C1D-4D14-87ED-FE6142414E7E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3073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304800</xdr:colOff>
                <xdr:row>3</xdr:row>
                <xdr:rowOff>133350</xdr:rowOff>
              </to>
            </anchor>
          </objectPr>
        </oleObject>
      </mc:Choice>
      <mc:Fallback>
        <oleObject progId="Acrobat Document" dvAspect="DVASPECT_ICON" shapeId="3073" r:id="rId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7B994A46EC0C418E930211A34EFDCD" ma:contentTypeVersion="15" ma:contentTypeDescription="Create a new document." ma:contentTypeScope="" ma:versionID="908d86efd34d6b29a93ebb9af8b63eea">
  <xsd:schema xmlns:xsd="http://www.w3.org/2001/XMLSchema" xmlns:xs="http://www.w3.org/2001/XMLSchema" xmlns:p="http://schemas.microsoft.com/office/2006/metadata/properties" xmlns:ns2="87a0f660-a1fb-4ffb-b50b-a716e7b88513" xmlns:ns3="446f9122-2130-43ec-b5f8-a79343957b58" targetNamespace="http://schemas.microsoft.com/office/2006/metadata/properties" ma:root="true" ma:fieldsID="36a124218bb96cf0bfad3a9c22c20c5d" ns2:_="" ns3:_="">
    <xsd:import namespace="87a0f660-a1fb-4ffb-b50b-a716e7b88513"/>
    <xsd:import namespace="446f9122-2130-43ec-b5f8-a79343957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0f660-a1fb-4ffb-b50b-a716e7b88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c48df8-e8cc-4a73-a73e-519b29584a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f9122-2130-43ec-b5f8-a79343957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4e6a3a5-9b09-45db-821f-127591399870}" ma:internalName="TaxCatchAll" ma:showField="CatchAllData" ma:web="446f9122-2130-43ec-b5f8-a79343957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a0f660-a1fb-4ffb-b50b-a716e7b88513">
      <Terms xmlns="http://schemas.microsoft.com/office/infopath/2007/PartnerControls"/>
    </lcf76f155ced4ddcb4097134ff3c332f>
    <TaxCatchAll xmlns="446f9122-2130-43ec-b5f8-a79343957b58" xsi:nil="true"/>
  </documentManagement>
</p:properties>
</file>

<file path=customXml/itemProps1.xml><?xml version="1.0" encoding="utf-8"?>
<ds:datastoreItem xmlns:ds="http://schemas.openxmlformats.org/officeDocument/2006/customXml" ds:itemID="{7F4EE8CA-5BB8-4DE6-8AEA-1792715044FB}"/>
</file>

<file path=customXml/itemProps2.xml><?xml version="1.0" encoding="utf-8"?>
<ds:datastoreItem xmlns:ds="http://schemas.openxmlformats.org/officeDocument/2006/customXml" ds:itemID="{99F5B0C2-9C51-4A36-8D38-634F6B63A918}"/>
</file>

<file path=customXml/itemProps3.xml><?xml version="1.0" encoding="utf-8"?>
<ds:datastoreItem xmlns:ds="http://schemas.openxmlformats.org/officeDocument/2006/customXml" ds:itemID="{A1D666A1-F1C9-4905-9314-204AF9D711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 2023</vt:lpstr>
      <vt:lpstr>Q2 2023</vt:lpstr>
      <vt:lpstr>Budget Backup</vt:lpstr>
      <vt:lpstr>MOA Backup</vt:lpstr>
    </vt:vector>
  </TitlesOfParts>
  <Company>City of Seattle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Chow, Willy</dc:creator>
  <cp:lastModifiedBy>Chow, Willy</cp:lastModifiedBy>
  <dcterms:created xsi:type="dcterms:W3CDTF">2023-04-04T17:54:29Z</dcterms:created>
  <dcterms:modified xsi:type="dcterms:W3CDTF">2023-06-27T21:27:58Z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0x010100DA7B994A46EC0C418E930211A34EFDCD</vt:lpwstr>
  </property>
</Properties>
</file>