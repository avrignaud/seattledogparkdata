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&amp;A\Accounting\Billing&amp;Receivables\MOA Billing\MOA Receivable\PKS_SAS-Animal Control Officer - 3-2-16-12-31-27\2024\"/>
    </mc:Choice>
  </mc:AlternateContent>
  <xr:revisionPtr revIDLastSave="0" documentId="13_ncr:1_{1F7970CE-42DA-4EE6-B2FE-38AF701667CA}" xr6:coauthVersionLast="47" xr6:coauthVersionMax="47" xr10:uidLastSave="{00000000-0000-0000-0000-000000000000}"/>
  <bookViews>
    <workbookView xWindow="-110" yWindow="-110" windowWidth="19420" windowHeight="10420" xr2:uid="{6C633AA9-4EE0-41B0-8A60-B610B5F1701A}"/>
  </bookViews>
  <sheets>
    <sheet name="Q1 2024" sheetId="1" r:id="rId1"/>
    <sheet name="Q2 2024" sheetId="4" r:id="rId2"/>
    <sheet name="Q3 2024" sheetId="5" r:id="rId3"/>
    <sheet name="Q4 2024" sheetId="6" r:id="rId4"/>
    <sheet name="Budget Backup" sheetId="2" r:id="rId5"/>
    <sheet name="MOA Backup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38" i="6"/>
  <c r="D37" i="6"/>
  <c r="D36" i="6"/>
  <c r="G35" i="6"/>
  <c r="D35" i="6"/>
  <c r="G34" i="6"/>
  <c r="D34" i="6"/>
  <c r="D33" i="6"/>
  <c r="D25" i="6"/>
  <c r="D24" i="6"/>
  <c r="G23" i="6"/>
  <c r="D23" i="6"/>
  <c r="G22" i="6"/>
  <c r="D22" i="6"/>
  <c r="D21" i="6"/>
  <c r="D13" i="6"/>
  <c r="D12" i="6"/>
  <c r="G11" i="6"/>
  <c r="D11" i="6"/>
  <c r="G10" i="6"/>
  <c r="D10" i="6"/>
  <c r="D9" i="6"/>
  <c r="D37" i="5"/>
  <c r="D36" i="5"/>
  <c r="G35" i="5"/>
  <c r="D35" i="5"/>
  <c r="G34" i="5"/>
  <c r="D34" i="5"/>
  <c r="D33" i="5"/>
  <c r="D38" i="5" s="1"/>
  <c r="G32" i="5" s="1"/>
  <c r="D25" i="5"/>
  <c r="D24" i="5"/>
  <c r="G23" i="5"/>
  <c r="D23" i="5"/>
  <c r="G22" i="5"/>
  <c r="D22" i="5"/>
  <c r="D21" i="5"/>
  <c r="D13" i="5"/>
  <c r="D12" i="5"/>
  <c r="G11" i="5"/>
  <c r="D11" i="5"/>
  <c r="G10" i="5"/>
  <c r="D10" i="5"/>
  <c r="D9" i="5"/>
  <c r="D37" i="4"/>
  <c r="D36" i="4"/>
  <c r="G35" i="4"/>
  <c r="D35" i="4"/>
  <c r="G34" i="4"/>
  <c r="D34" i="4"/>
  <c r="D33" i="4"/>
  <c r="D25" i="4"/>
  <c r="D24" i="4"/>
  <c r="G23" i="4"/>
  <c r="D23" i="4"/>
  <c r="G22" i="4"/>
  <c r="D22" i="4"/>
  <c r="D21" i="4"/>
  <c r="D13" i="4"/>
  <c r="D12" i="4"/>
  <c r="G11" i="4"/>
  <c r="D11" i="4"/>
  <c r="G10" i="4"/>
  <c r="D10" i="4"/>
  <c r="D9" i="4"/>
  <c r="G35" i="1"/>
  <c r="G34" i="1"/>
  <c r="G23" i="1"/>
  <c r="G22" i="1"/>
  <c r="G11" i="1"/>
  <c r="G10" i="1"/>
  <c r="D37" i="1"/>
  <c r="D36" i="1"/>
  <c r="D35" i="1"/>
  <c r="D34" i="1"/>
  <c r="D33" i="1"/>
  <c r="D25" i="1"/>
  <c r="D24" i="1"/>
  <c r="D23" i="1"/>
  <c r="D22" i="1"/>
  <c r="D21" i="1"/>
  <c r="D13" i="1"/>
  <c r="D12" i="1"/>
  <c r="D11" i="1"/>
  <c r="D10" i="1"/>
  <c r="D9" i="1"/>
  <c r="D38" i="4" l="1"/>
  <c r="G32" i="4" s="1"/>
  <c r="G33" i="4" s="1"/>
  <c r="G37" i="4" s="1"/>
  <c r="B4" i="4" s="1"/>
  <c r="D39" i="6"/>
  <c r="G32" i="6" s="1"/>
  <c r="G33" i="6" s="1"/>
  <c r="G37" i="6" s="1"/>
  <c r="B4" i="6" s="1"/>
  <c r="D26" i="6"/>
  <c r="G20" i="6" s="1"/>
  <c r="G21" i="6" s="1"/>
  <c r="G24" i="6" s="1"/>
  <c r="B3" i="6" s="1"/>
  <c r="D14" i="6"/>
  <c r="G8" i="6" s="1"/>
  <c r="G9" i="6" s="1"/>
  <c r="G12" i="6" s="1"/>
  <c r="B2" i="6" s="1"/>
  <c r="D26" i="5"/>
  <c r="G20" i="5" s="1"/>
  <c r="G21" i="5" s="1"/>
  <c r="G24" i="5" s="1"/>
  <c r="B3" i="5" s="1"/>
  <c r="D14" i="5"/>
  <c r="G8" i="5" s="1"/>
  <c r="G9" i="5" s="1"/>
  <c r="G33" i="5"/>
  <c r="G37" i="5" s="1"/>
  <c r="B4" i="5" s="1"/>
  <c r="D26" i="4"/>
  <c r="G20" i="4" s="1"/>
  <c r="G21" i="4" s="1"/>
  <c r="G24" i="4" s="1"/>
  <c r="B3" i="4" s="1"/>
  <c r="D14" i="4"/>
  <c r="G8" i="4" s="1"/>
  <c r="G9" i="4" s="1"/>
  <c r="G12" i="4" s="1"/>
  <c r="B2" i="4" s="1"/>
  <c r="D38" i="1"/>
  <c r="G32" i="1" s="1"/>
  <c r="G33" i="1" s="1"/>
  <c r="D14" i="1"/>
  <c r="G8" i="1" s="1"/>
  <c r="G9" i="1" s="1"/>
  <c r="D26" i="1"/>
  <c r="G20" i="1" s="1"/>
  <c r="G21" i="1" s="1"/>
  <c r="B5" i="6" l="1"/>
  <c r="E5" i="6" s="1"/>
  <c r="G12" i="5"/>
  <c r="B2" i="5" s="1"/>
  <c r="B5" i="5"/>
  <c r="E5" i="5" s="1"/>
  <c r="B5" i="4"/>
  <c r="E5" i="4" s="1"/>
  <c r="G5" i="4" s="1"/>
  <c r="G12" i="1"/>
  <c r="G37" i="1"/>
  <c r="B4" i="1" s="1"/>
  <c r="G24" i="1"/>
  <c r="B3" i="1" s="1"/>
  <c r="B5" i="1" l="1"/>
  <c r="E5" i="1" s="1"/>
</calcChain>
</file>

<file path=xl/sharedStrings.xml><?xml version="1.0" encoding="utf-8"?>
<sst xmlns="http://schemas.openxmlformats.org/spreadsheetml/2006/main" count="245" uniqueCount="101">
  <si>
    <t>JID: PKS_MOA</t>
  </si>
  <si>
    <t>Total</t>
  </si>
  <si>
    <t>Week</t>
  </si>
  <si>
    <t>Hours</t>
  </si>
  <si>
    <t>Rate</t>
  </si>
  <si>
    <t>Salary Costs</t>
  </si>
  <si>
    <t>FAS Overhead costs</t>
  </si>
  <si>
    <t>Supply Costs</t>
  </si>
  <si>
    <t>Total Salary Costs</t>
  </si>
  <si>
    <t>JAN 2023 STAFFING TO SUPPORT "MAKING PARKS SAFER" INITIATIVE</t>
  </si>
  <si>
    <t>FEB 2023 STAFFING TO SUPPORT "MAKING PARKS SAFER" INITIATIVE</t>
  </si>
  <si>
    <t>JAN</t>
  </si>
  <si>
    <t>FEB</t>
  </si>
  <si>
    <t>MAR</t>
  </si>
  <si>
    <t>47.97% for benefits</t>
  </si>
  <si>
    <t>$10,165 Annually</t>
  </si>
  <si>
    <t xml:space="preserve">$3,000 Annually </t>
  </si>
  <si>
    <t xml:space="preserve">   Costs for three Staff =</t>
  </si>
  <si>
    <t>April</t>
  </si>
  <si>
    <t>May</t>
  </si>
  <si>
    <t>June</t>
  </si>
  <si>
    <t>Q1 Adjustment</t>
  </si>
  <si>
    <t>Total Cost Three Staff</t>
  </si>
  <si>
    <t xml:space="preserve">   Costs for Three Staff =</t>
  </si>
  <si>
    <t>Cell C21 = $113454.64</t>
  </si>
  <si>
    <t>July</t>
  </si>
  <si>
    <t>August</t>
  </si>
  <si>
    <t>September</t>
  </si>
  <si>
    <t>MAR 2023 STAFFING TO SUPPORT "MAKING PARKS SAFER" INITIATIVE</t>
  </si>
  <si>
    <t>October</t>
  </si>
  <si>
    <t>November</t>
  </si>
  <si>
    <t>December</t>
  </si>
  <si>
    <t>1/1-1/5</t>
  </si>
  <si>
    <t>1/8-1/12</t>
  </si>
  <si>
    <t>1/22-1/26</t>
  </si>
  <si>
    <t>1/29-1/31</t>
  </si>
  <si>
    <t>2/1-2/2</t>
  </si>
  <si>
    <t>2/5-2/9</t>
  </si>
  <si>
    <t>2/12-2/16</t>
  </si>
  <si>
    <t>2/19-2/23</t>
  </si>
  <si>
    <t>2/26-2/29</t>
  </si>
  <si>
    <t>3/4-3/8</t>
  </si>
  <si>
    <t>3/11-3/15</t>
  </si>
  <si>
    <t>3/18-3/22</t>
  </si>
  <si>
    <t>4/1-4/5</t>
  </si>
  <si>
    <t>4/8-4/12</t>
  </si>
  <si>
    <t>4/15-4/19</t>
  </si>
  <si>
    <t>4/22-4/26</t>
  </si>
  <si>
    <t>4/29-4/30</t>
  </si>
  <si>
    <t>5/1-5/3</t>
  </si>
  <si>
    <t>5/6-5/10</t>
  </si>
  <si>
    <t>5/13-5/17</t>
  </si>
  <si>
    <t>5/20-5/24</t>
  </si>
  <si>
    <t>5/27-5/31</t>
  </si>
  <si>
    <t>6/3-6/7</t>
  </si>
  <si>
    <t>6/10-6/14</t>
  </si>
  <si>
    <t>6/17-6/21</t>
  </si>
  <si>
    <t>6/24-6/28</t>
  </si>
  <si>
    <t>Q2 2024</t>
  </si>
  <si>
    <t>Q1 2024</t>
  </si>
  <si>
    <t>7/1-7/5</t>
  </si>
  <si>
    <t>Q3 2024</t>
  </si>
  <si>
    <t>7/8-7/12</t>
  </si>
  <si>
    <t>7/15-7/19</t>
  </si>
  <si>
    <t>7/22-7/26</t>
  </si>
  <si>
    <t>7/29-7/31</t>
  </si>
  <si>
    <t>8/1-8/2</t>
  </si>
  <si>
    <t>8/5-8/9</t>
  </si>
  <si>
    <t>8/12-/8/16</t>
  </si>
  <si>
    <t>8/19-8/23</t>
  </si>
  <si>
    <t>8/26-8/30</t>
  </si>
  <si>
    <t>July 2024 STAFFING TO SUPPORT "MAKING PARKS SAFER" INITIATIVE</t>
  </si>
  <si>
    <t>Aug 2024 STAFFING TO SUPPORT "MAKING PARKS SAFER" INITIATIVE</t>
  </si>
  <si>
    <t>Sep 2024 STAFFING TO SUPPORT "MAKING PARKS SAFER" INITIATIVE</t>
  </si>
  <si>
    <t>9/9-9/13</t>
  </si>
  <si>
    <t>9/16-9/20</t>
  </si>
  <si>
    <t>9/23-9/27</t>
  </si>
  <si>
    <t>April 2024 STAFFING TO SUPPORT "MAKING PARKS SAFER" INITIATIVE</t>
  </si>
  <si>
    <t>May 2024 STAFFING TO SUPPORT "MAKING PARKS SAFER" INITIATIVE</t>
  </si>
  <si>
    <t>June 2024 STAFFING TO SUPPORT "MAKING PARKS SAFER" INITIATIVE</t>
  </si>
  <si>
    <t>Q4 2024</t>
  </si>
  <si>
    <t>Oct 2024 STAFFING TO SUPPORT "MAKING PARKS SAFER" INITIATIVE</t>
  </si>
  <si>
    <t>Nov 2024 STAFFING TO SUPPORT "MAKING PARKS SAFER" INITIATIVE</t>
  </si>
  <si>
    <t>Dec 2024 STAFFING TO SUPPORT "MAKING PARKS SAFER" INITIATIVE</t>
  </si>
  <si>
    <t>10/1-10/4</t>
  </si>
  <si>
    <t>10/7-10/11</t>
  </si>
  <si>
    <t>10/14-10/18</t>
  </si>
  <si>
    <t>10/21-10/25</t>
  </si>
  <si>
    <t>10/28-10/31</t>
  </si>
  <si>
    <t>11/4-11/8</t>
  </si>
  <si>
    <t>11/11-11/15</t>
  </si>
  <si>
    <t>11/18-11/22</t>
  </si>
  <si>
    <t>11/25-11/29</t>
  </si>
  <si>
    <t>12/9-12/13</t>
  </si>
  <si>
    <t>12/16-12/20</t>
  </si>
  <si>
    <t>12/23-12/27</t>
  </si>
  <si>
    <t>12/2-12/6</t>
  </si>
  <si>
    <t>12/30-12/31</t>
  </si>
  <si>
    <t>1/15-1/19</t>
  </si>
  <si>
    <t>3/26-3/29</t>
  </si>
  <si>
    <t>9/2/-9/6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</si>
</sst>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1" xfId="0" applyNumberFormat="1" applyBorder="1" applyAlignment="1">
      <alignment horizontal="right"/>
    </xf>
    <xf numFmtId="44" fontId="0" fillId="0" borderId="1" xfId="0" applyNumberFormat="1" applyBorder="1"/>
    <xf numFmtId="0" fontId="2" fillId="0" borderId="1" xfId="0" applyFont="1" applyBorder="1" applyAlignment="1">
      <alignment horizontal="right"/>
    </xf>
    <xf numFmtId="44" fontId="2" fillId="0" borderId="1" xfId="0" applyNumberFormat="1" applyFont="1" applyBorder="1"/>
    <xf numFmtId="0" fontId="2" fillId="0" borderId="0" xfId="0" applyFont="1" applyAlignment="1">
      <alignment horizontal="right"/>
    </xf>
    <xf numFmtId="44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4" fontId="1" fillId="0" borderId="1" xfId="2" applyBorder="1"/>
    <xf numFmtId="44" fontId="0" fillId="0" borderId="0" xfId="0" applyNumberFormat="1"/>
    <xf numFmtId="164" fontId="0" fillId="0" borderId="1" xfId="0" applyNumberFormat="1" applyBorder="1" applyAlignment="1">
      <alignment horizontal="center"/>
    </xf>
    <xf numFmtId="43" fontId="1" fillId="0" borderId="1" xfId="1" applyFill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0" fontId="3" fillId="0" borderId="0" xfId="0" applyFont="1"/>
    <xf numFmtId="44" fontId="2" fillId="0" borderId="2" xfId="0" applyNumberFormat="1" applyFont="1" applyBorder="1"/>
    <xf numFmtId="0" fontId="4" fillId="0" borderId="0" xfId="0" applyFont="1"/>
    <xf numFmtId="164" fontId="1" fillId="0" borderId="0" xfId="0" applyNumberFormat="1" applyFont="1"/>
    <xf numFmtId="44" fontId="2" fillId="0" borderId="2" xfId="2" applyFont="1" applyBorder="1" applyAlignment="1">
      <alignment horizontal="right"/>
    </xf>
    <xf numFmtId="44" fontId="2" fillId="0" borderId="0" xfId="2" applyFont="1" applyBorder="1" applyAlignment="1">
      <alignment horizontal="right"/>
    </xf>
    <xf numFmtId="0" fontId="1" fillId="0" borderId="0" xfId="0" applyFont="1" applyAlignment="1">
      <alignment horizontal="right"/>
    </xf>
    <xf numFmtId="44" fontId="1" fillId="0" borderId="3" xfId="2" applyBorder="1"/>
    <xf numFmtId="44" fontId="2" fillId="0" borderId="4" xfId="2" applyFont="1" applyBorder="1" applyAlignment="1">
      <alignment horizontal="right"/>
    </xf>
    <xf numFmtId="43" fontId="0" fillId="0" borderId="0" xfId="0" applyNumberFormat="1"/>
    <xf numFmtId="2" fontId="0" fillId="0" borderId="0" xfId="0" applyNumberFormat="1"/>
    <xf numFmtId="44" fontId="2" fillId="2" borderId="2" xfId="0" applyNumberFormat="1" applyFont="1" applyFill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40" fontId="2" fillId="4" borderId="1" xfId="2" applyNumberFormat="1" applyFont="1" applyFill="1" applyBorder="1"/>
    <xf numFmtId="40" fontId="1" fillId="0" borderId="0" xfId="0" applyNumberFormat="1" applyFont="1" applyAlignment="1">
      <alignment horizontal="center"/>
    </xf>
    <xf numFmtId="40" fontId="2" fillId="0" borderId="1" xfId="2" applyNumberFormat="1" applyFont="1" applyFill="1" applyBorder="1"/>
    <xf numFmtId="0" fontId="2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right"/>
    </xf>
    <xf numFmtId="40" fontId="2" fillId="0" borderId="0" xfId="2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3270250" y="252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575050" y="13557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613150" y="13557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270250" y="475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3603625" y="35909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613150" y="35909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270250" y="698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3603625" y="58261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613150" y="58261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270250" y="253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3575050" y="13684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3613150" y="13684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3270250" y="476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3603625" y="36036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613150" y="36036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3270250" y="699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3603625" y="58388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3613150" y="58388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3270250" y="253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3575050" y="13684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3613150" y="13684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3270250" y="476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3603625" y="36036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3613150" y="36036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3270250" y="699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V="1">
          <a:off x="3603625" y="58388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3613150" y="58388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3270250" y="253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3575050" y="13684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3613150" y="13684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3270250" y="476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V="1">
          <a:off x="3603625" y="36036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613150" y="36036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</xdr:row>
      <xdr:rowOff>114300</xdr:rowOff>
    </xdr:from>
    <xdr:to>
      <xdr:col>4</xdr:col>
      <xdr:colOff>342900</xdr:colOff>
      <xdr:row>38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70250" y="699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38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V="1">
          <a:off x="3603625" y="58388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3613150" y="58388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30</xdr:col>
      <xdr:colOff>2553</xdr:colOff>
      <xdr:row>73</xdr:row>
      <xdr:rowOff>13987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221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29</xdr:col>
      <xdr:colOff>431152</xdr:colOff>
      <xdr:row>99</xdr:row>
      <xdr:rowOff>99107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7500"/>
          <a:ext cx="18109552" cy="4887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29</xdr:col>
      <xdr:colOff>602626</xdr:colOff>
      <xdr:row>130</xdr:row>
      <xdr:rowOff>162719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79550"/>
          <a:ext cx="18281026" cy="5687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30</xdr:col>
      <xdr:colOff>2553</xdr:colOff>
      <xdr:row>163</xdr:row>
      <xdr:rowOff>89735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888200"/>
          <a:ext cx="18290553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506682</xdr:colOff>
      <xdr:row>30</xdr:row>
      <xdr:rowOff>67455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308282" cy="55919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3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A34-81DA-4C89-9027-830872522528}">
  <dimension ref="A1:J40"/>
  <sheetViews>
    <sheetView tabSelected="1"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7.7265625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59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11</v>
      </c>
      <c r="B2" s="4">
        <f>G12</f>
        <v>13291.823725333335</v>
      </c>
      <c r="C2" s="2"/>
      <c r="D2" s="2"/>
      <c r="E2" s="2"/>
      <c r="F2" s="2"/>
      <c r="G2" s="2"/>
      <c r="H2" s="2"/>
    </row>
    <row r="3" spans="1:10" x14ac:dyDescent="0.35">
      <c r="A3" s="3" t="s">
        <v>12</v>
      </c>
      <c r="B3" s="4">
        <f>G24</f>
        <v>12273.790125333333</v>
      </c>
      <c r="C3" s="2"/>
      <c r="D3" s="2"/>
      <c r="E3" s="2"/>
      <c r="F3" s="2"/>
      <c r="G3" s="2"/>
      <c r="H3" s="2"/>
    </row>
    <row r="4" spans="1:10" x14ac:dyDescent="0.35">
      <c r="A4" s="3" t="s">
        <v>13</v>
      </c>
      <c r="B4" s="4">
        <f>G37</f>
        <v>12231.411517333332</v>
      </c>
      <c r="C4" s="2"/>
      <c r="D4" s="2"/>
      <c r="E4" s="2"/>
      <c r="F4" s="2"/>
      <c r="G4" s="2"/>
      <c r="H4" s="2"/>
    </row>
    <row r="5" spans="1:10" ht="15" thickBot="1" x14ac:dyDescent="0.4">
      <c r="A5" s="5" t="s">
        <v>1</v>
      </c>
      <c r="B5" s="6">
        <f>SUM(B2:B4)</f>
        <v>37797.025368000002</v>
      </c>
      <c r="C5" s="1" t="s">
        <v>17</v>
      </c>
      <c r="D5" s="2"/>
      <c r="E5" s="27">
        <f>B5*3</f>
        <v>113391.07610400001</v>
      </c>
      <c r="G5" s="2"/>
      <c r="H5" s="2"/>
    </row>
    <row r="6" spans="1:10" ht="15" thickTop="1" x14ac:dyDescent="0.35">
      <c r="A6" s="7"/>
      <c r="B6" s="8"/>
      <c r="C6" s="2"/>
      <c r="D6" s="2"/>
      <c r="E6" s="2"/>
      <c r="F6" s="2"/>
      <c r="G6" s="2"/>
      <c r="H6" s="2"/>
    </row>
    <row r="7" spans="1:10" x14ac:dyDescent="0.35">
      <c r="A7" s="1" t="s">
        <v>9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8241.36</v>
      </c>
      <c r="H8" s="2"/>
      <c r="I8" s="12"/>
    </row>
    <row r="9" spans="1:10" x14ac:dyDescent="0.35">
      <c r="A9" s="13" t="s">
        <v>32</v>
      </c>
      <c r="B9" s="9">
        <v>40</v>
      </c>
      <c r="C9" s="14">
        <v>44.79</v>
      </c>
      <c r="D9" s="15">
        <f>B9*C9</f>
        <v>1791.6</v>
      </c>
      <c r="E9" s="2"/>
      <c r="F9" s="10" t="s">
        <v>14</v>
      </c>
      <c r="G9" s="11">
        <f>G8*0.4797</f>
        <v>3953.3803920000005</v>
      </c>
      <c r="H9" s="2"/>
    </row>
    <row r="10" spans="1:10" x14ac:dyDescent="0.35">
      <c r="A10" s="13" t="s">
        <v>33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15</v>
      </c>
    </row>
    <row r="11" spans="1:10" x14ac:dyDescent="0.35">
      <c r="A11" s="13" t="s">
        <v>98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16</v>
      </c>
    </row>
    <row r="12" spans="1:10" ht="15" thickBot="1" x14ac:dyDescent="0.4">
      <c r="A12" s="13" t="s">
        <v>34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13291.823725333335</v>
      </c>
      <c r="H12" s="18"/>
      <c r="J12" s="12"/>
    </row>
    <row r="13" spans="1:10" ht="15" thickTop="1" x14ac:dyDescent="0.35">
      <c r="A13" s="13" t="s">
        <v>35</v>
      </c>
      <c r="B13" s="9">
        <v>24</v>
      </c>
      <c r="C13" s="14">
        <v>44.79</v>
      </c>
      <c r="D13" s="15">
        <f>B13*C13</f>
        <v>1074.96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8241.36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10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7553.36</v>
      </c>
      <c r="H20" s="2"/>
    </row>
    <row r="21" spans="1:8" x14ac:dyDescent="0.35">
      <c r="A21" s="13" t="s">
        <v>36</v>
      </c>
      <c r="B21" s="9">
        <v>16</v>
      </c>
      <c r="C21" s="14">
        <v>46.58</v>
      </c>
      <c r="D21" s="15">
        <f>B21*C21</f>
        <v>745.28</v>
      </c>
      <c r="E21" s="2"/>
      <c r="F21" s="10" t="s">
        <v>14</v>
      </c>
      <c r="G21" s="11">
        <f>G20*0.4797</f>
        <v>3623.3467919999998</v>
      </c>
      <c r="H21" s="18"/>
    </row>
    <row r="22" spans="1:8" x14ac:dyDescent="0.35">
      <c r="A22" s="13" t="s">
        <v>37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15</v>
      </c>
    </row>
    <row r="23" spans="1:8" x14ac:dyDescent="0.35">
      <c r="A23" s="13" t="s">
        <v>38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16</v>
      </c>
    </row>
    <row r="24" spans="1:8" ht="15" thickBot="1" x14ac:dyDescent="0.4">
      <c r="A24" s="13" t="s">
        <v>39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12273.790125333333</v>
      </c>
      <c r="H24" s="2"/>
    </row>
    <row r="25" spans="1:8" ht="15" thickTop="1" x14ac:dyDescent="0.35">
      <c r="A25" s="13" t="s">
        <v>40</v>
      </c>
      <c r="B25" s="9">
        <v>32</v>
      </c>
      <c r="C25" s="14">
        <v>44.79</v>
      </c>
      <c r="D25" s="15">
        <f>B25*C25</f>
        <v>1433.28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7553.36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28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7524.7199999999993</v>
      </c>
      <c r="H32" s="2"/>
    </row>
    <row r="33" spans="1:8" x14ac:dyDescent="0.35">
      <c r="A33" s="13">
        <v>45352</v>
      </c>
      <c r="B33" s="9">
        <v>8</v>
      </c>
      <c r="C33" s="14">
        <v>44.79</v>
      </c>
      <c r="D33" s="15">
        <f>B33*C33</f>
        <v>358.32</v>
      </c>
      <c r="E33" s="2"/>
      <c r="F33" s="10" t="s">
        <v>14</v>
      </c>
      <c r="G33" s="11">
        <f>G32*0.4797</f>
        <v>3609.6081839999997</v>
      </c>
      <c r="H33" s="2"/>
    </row>
    <row r="34" spans="1:8" x14ac:dyDescent="0.35">
      <c r="A34" s="13" t="s">
        <v>41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15</v>
      </c>
    </row>
    <row r="35" spans="1:8" x14ac:dyDescent="0.35">
      <c r="A35" s="13" t="s">
        <v>42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16</v>
      </c>
    </row>
    <row r="36" spans="1:8" x14ac:dyDescent="0.35">
      <c r="A36" s="13" t="s">
        <v>43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 t="s">
        <v>99</v>
      </c>
      <c r="B37" s="9">
        <v>40</v>
      </c>
      <c r="C37" s="14">
        <v>44.79</v>
      </c>
      <c r="D37" s="15">
        <f>B37*C37</f>
        <v>1791.6</v>
      </c>
      <c r="E37" s="2"/>
      <c r="F37" s="7" t="s">
        <v>1</v>
      </c>
      <c r="G37" s="17">
        <f>SUM(G32:G35)</f>
        <v>12231.411517333332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7524.7199999999993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5917-2943-40DD-A424-2B5C6C4D681B}">
  <dimension ref="A1:J40"/>
  <sheetViews>
    <sheetView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9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58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18</v>
      </c>
      <c r="B2" s="4">
        <f>G12</f>
        <v>12761.617621333335</v>
      </c>
      <c r="C2" s="2"/>
      <c r="D2" s="2"/>
      <c r="E2" s="2"/>
      <c r="F2" s="2"/>
      <c r="G2" s="2"/>
      <c r="H2" s="2"/>
    </row>
    <row r="3" spans="1:10" x14ac:dyDescent="0.35">
      <c r="A3" s="3" t="s">
        <v>19</v>
      </c>
      <c r="B3" s="4">
        <f>G24</f>
        <v>13291.823725333335</v>
      </c>
      <c r="C3" s="2"/>
      <c r="D3" s="2"/>
      <c r="E3" s="2"/>
      <c r="F3" s="30" t="s">
        <v>24</v>
      </c>
      <c r="G3" s="2"/>
      <c r="H3" s="2"/>
    </row>
    <row r="4" spans="1:10" x14ac:dyDescent="0.35">
      <c r="A4" s="3" t="s">
        <v>20</v>
      </c>
      <c r="B4" s="4">
        <f>G37</f>
        <v>11701.205413333333</v>
      </c>
      <c r="C4" s="2"/>
      <c r="D4" s="2"/>
      <c r="E4" s="2"/>
      <c r="F4" s="29" t="s">
        <v>21</v>
      </c>
      <c r="G4" s="28" t="s">
        <v>22</v>
      </c>
      <c r="H4" s="28"/>
    </row>
    <row r="5" spans="1:10" ht="15" thickBot="1" x14ac:dyDescent="0.4">
      <c r="A5" s="5" t="s">
        <v>1</v>
      </c>
      <c r="B5" s="6">
        <f>SUM(B2:B4)</f>
        <v>37754.646760000003</v>
      </c>
      <c r="C5" s="1" t="s">
        <v>23</v>
      </c>
      <c r="D5" s="2"/>
      <c r="E5" s="27">
        <f>B5*3</f>
        <v>113263.94028000001</v>
      </c>
      <c r="F5" s="31">
        <v>-190.7</v>
      </c>
      <c r="G5" s="27">
        <f>E5+F5</f>
        <v>113073.24028000001</v>
      </c>
      <c r="H5" s="2"/>
    </row>
    <row r="6" spans="1:10" ht="15" thickTop="1" x14ac:dyDescent="0.35">
      <c r="A6" s="7"/>
      <c r="B6" s="8"/>
      <c r="C6" s="2"/>
      <c r="D6" s="2"/>
      <c r="E6" s="2"/>
      <c r="F6" s="2"/>
      <c r="G6" s="2"/>
      <c r="H6" s="2"/>
    </row>
    <row r="7" spans="1:10" x14ac:dyDescent="0.35">
      <c r="A7" s="1" t="s">
        <v>77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7883.04</v>
      </c>
      <c r="H8" s="2"/>
      <c r="I8" s="12"/>
    </row>
    <row r="9" spans="1:10" x14ac:dyDescent="0.35">
      <c r="A9" s="13" t="s">
        <v>44</v>
      </c>
      <c r="B9" s="9">
        <v>40</v>
      </c>
      <c r="C9" s="14">
        <v>44.79</v>
      </c>
      <c r="D9" s="15">
        <f>B9*C9</f>
        <v>1791.6</v>
      </c>
      <c r="E9" s="2"/>
      <c r="F9" s="10" t="s">
        <v>14</v>
      </c>
      <c r="G9" s="11">
        <f>G8*0.4797</f>
        <v>3781.4942880000003</v>
      </c>
      <c r="H9" s="2"/>
    </row>
    <row r="10" spans="1:10" x14ac:dyDescent="0.35">
      <c r="A10" s="13" t="s">
        <v>45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15</v>
      </c>
    </row>
    <row r="11" spans="1:10" x14ac:dyDescent="0.35">
      <c r="A11" s="13" t="s">
        <v>46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16</v>
      </c>
    </row>
    <row r="12" spans="1:10" ht="15" thickBot="1" x14ac:dyDescent="0.4">
      <c r="A12" s="13" t="s">
        <v>47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12761.617621333335</v>
      </c>
      <c r="H12" s="18"/>
      <c r="J12" s="12"/>
    </row>
    <row r="13" spans="1:10" ht="15" thickTop="1" x14ac:dyDescent="0.35">
      <c r="A13" s="13" t="s">
        <v>48</v>
      </c>
      <c r="B13" s="9">
        <v>16</v>
      </c>
      <c r="C13" s="14">
        <v>44.79</v>
      </c>
      <c r="D13" s="15">
        <f>B13*C13</f>
        <v>716.64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7883.04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78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8241.36</v>
      </c>
      <c r="H20" s="2"/>
    </row>
    <row r="21" spans="1:8" x14ac:dyDescent="0.35">
      <c r="A21" s="13" t="s">
        <v>49</v>
      </c>
      <c r="B21" s="9">
        <v>24</v>
      </c>
      <c r="C21" s="14">
        <v>44.79</v>
      </c>
      <c r="D21" s="15">
        <f>B21*C21</f>
        <v>1074.96</v>
      </c>
      <c r="E21" s="2"/>
      <c r="F21" s="10" t="s">
        <v>14</v>
      </c>
      <c r="G21" s="11">
        <f>G20*0.4797</f>
        <v>3953.3803920000005</v>
      </c>
      <c r="H21" s="18"/>
    </row>
    <row r="22" spans="1:8" x14ac:dyDescent="0.35">
      <c r="A22" s="13" t="s">
        <v>50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15</v>
      </c>
    </row>
    <row r="23" spans="1:8" x14ac:dyDescent="0.35">
      <c r="A23" s="13" t="s">
        <v>51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16</v>
      </c>
    </row>
    <row r="24" spans="1:8" ht="15" thickBot="1" x14ac:dyDescent="0.4">
      <c r="A24" s="13" t="s">
        <v>52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13291.823725333335</v>
      </c>
      <c r="H24" s="2"/>
    </row>
    <row r="25" spans="1:8" ht="15" thickTop="1" x14ac:dyDescent="0.35">
      <c r="A25" s="13" t="s">
        <v>53</v>
      </c>
      <c r="B25" s="9">
        <v>40</v>
      </c>
      <c r="C25" s="14">
        <v>44.79</v>
      </c>
      <c r="D25" s="15">
        <f>B25*C25</f>
        <v>1791.6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8241.36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79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7166.4</v>
      </c>
      <c r="H32" s="2"/>
    </row>
    <row r="33" spans="1:8" x14ac:dyDescent="0.35">
      <c r="A33" s="13" t="s">
        <v>54</v>
      </c>
      <c r="B33" s="9">
        <v>40</v>
      </c>
      <c r="C33" s="14">
        <v>44.79</v>
      </c>
      <c r="D33" s="15">
        <f>B33*C33</f>
        <v>1791.6</v>
      </c>
      <c r="E33" s="2"/>
      <c r="F33" s="10" t="s">
        <v>14</v>
      </c>
      <c r="G33" s="11">
        <f>G32*0.4797</f>
        <v>3437.72208</v>
      </c>
      <c r="H33" s="2"/>
    </row>
    <row r="34" spans="1:8" x14ac:dyDescent="0.35">
      <c r="A34" s="13" t="s">
        <v>55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15</v>
      </c>
    </row>
    <row r="35" spans="1:8" x14ac:dyDescent="0.35">
      <c r="A35" s="13" t="s">
        <v>56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16</v>
      </c>
    </row>
    <row r="36" spans="1:8" x14ac:dyDescent="0.35">
      <c r="A36" s="13" t="s">
        <v>57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/>
      <c r="B37" s="9">
        <v>0</v>
      </c>
      <c r="C37" s="14">
        <v>44.79</v>
      </c>
      <c r="D37" s="15">
        <f>B37*C37</f>
        <v>0</v>
      </c>
      <c r="E37" s="2"/>
      <c r="F37" s="7" t="s">
        <v>1</v>
      </c>
      <c r="G37" s="17">
        <f>SUM(G32:G35)</f>
        <v>11701.205413333333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7166.4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463A-BCDD-4B8F-9D69-413A6A6A14FD}">
  <dimension ref="A1:J40"/>
  <sheetViews>
    <sheetView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9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61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4" t="s">
        <v>25</v>
      </c>
      <c r="B2" s="4">
        <f>G12</f>
        <v>13291.823725333335</v>
      </c>
      <c r="C2" s="2"/>
      <c r="D2" s="2"/>
      <c r="E2" s="2"/>
      <c r="F2" s="2"/>
      <c r="G2" s="2"/>
      <c r="H2" s="2"/>
    </row>
    <row r="3" spans="1:10" x14ac:dyDescent="0.35">
      <c r="A3" s="3" t="s">
        <v>26</v>
      </c>
      <c r="B3" s="4">
        <f>G24</f>
        <v>12761.617621333335</v>
      </c>
      <c r="C3" s="2"/>
      <c r="D3" s="2"/>
      <c r="E3" s="2"/>
      <c r="F3" s="35"/>
      <c r="G3" s="2"/>
      <c r="H3" s="2"/>
    </row>
    <row r="4" spans="1:10" x14ac:dyDescent="0.35">
      <c r="A4" s="3" t="s">
        <v>27</v>
      </c>
      <c r="B4" s="4">
        <f>G37</f>
        <v>12231.411517333332</v>
      </c>
      <c r="C4" s="2"/>
      <c r="D4" s="2"/>
      <c r="E4" s="28" t="s">
        <v>22</v>
      </c>
      <c r="F4" s="33"/>
    </row>
    <row r="5" spans="1:10" ht="15" thickBot="1" x14ac:dyDescent="0.4">
      <c r="A5" s="5" t="s">
        <v>1</v>
      </c>
      <c r="B5" s="6">
        <f>SUM(B2:B4)</f>
        <v>38284.852864</v>
      </c>
      <c r="C5" s="1" t="s">
        <v>23</v>
      </c>
      <c r="D5" s="2"/>
      <c r="E5" s="27">
        <f>B5*3</f>
        <v>114854.558592</v>
      </c>
      <c r="F5" s="31"/>
    </row>
    <row r="6" spans="1:10" ht="15" thickTop="1" x14ac:dyDescent="0.35">
      <c r="A6" s="7"/>
      <c r="B6" s="8"/>
      <c r="C6" s="2"/>
      <c r="D6" s="2"/>
      <c r="E6" s="2"/>
      <c r="F6" s="2"/>
    </row>
    <row r="7" spans="1:10" x14ac:dyDescent="0.35">
      <c r="A7" s="1" t="s">
        <v>71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8241.36</v>
      </c>
      <c r="H8" s="2"/>
      <c r="I8" s="12"/>
    </row>
    <row r="9" spans="1:10" x14ac:dyDescent="0.35">
      <c r="A9" s="13" t="s">
        <v>60</v>
      </c>
      <c r="B9" s="9">
        <v>40</v>
      </c>
      <c r="C9" s="14">
        <v>44.79</v>
      </c>
      <c r="D9" s="15">
        <f>B9*C9</f>
        <v>1791.6</v>
      </c>
      <c r="E9" s="2"/>
      <c r="F9" s="10" t="s">
        <v>14</v>
      </c>
      <c r="G9" s="11">
        <f>G8*0.4797</f>
        <v>3953.3803920000005</v>
      </c>
      <c r="H9" s="2"/>
    </row>
    <row r="10" spans="1:10" x14ac:dyDescent="0.35">
      <c r="A10" s="13" t="s">
        <v>62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15</v>
      </c>
    </row>
    <row r="11" spans="1:10" x14ac:dyDescent="0.35">
      <c r="A11" s="13" t="s">
        <v>63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16</v>
      </c>
    </row>
    <row r="12" spans="1:10" ht="15" thickBot="1" x14ac:dyDescent="0.4">
      <c r="A12" s="13" t="s">
        <v>64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13291.823725333335</v>
      </c>
      <c r="H12" s="18"/>
      <c r="J12" s="12"/>
    </row>
    <row r="13" spans="1:10" ht="15" thickTop="1" x14ac:dyDescent="0.35">
      <c r="A13" s="13" t="s">
        <v>65</v>
      </c>
      <c r="B13" s="9">
        <v>24</v>
      </c>
      <c r="C13" s="14">
        <v>44.79</v>
      </c>
      <c r="D13" s="15">
        <f>B13*C13</f>
        <v>1074.96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8241.36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72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7883.0400000000009</v>
      </c>
      <c r="H20" s="2"/>
    </row>
    <row r="21" spans="1:8" x14ac:dyDescent="0.35">
      <c r="A21" s="13" t="s">
        <v>66</v>
      </c>
      <c r="B21" s="9">
        <v>16</v>
      </c>
      <c r="C21" s="14">
        <v>44.79</v>
      </c>
      <c r="D21" s="15">
        <f>B21*C21</f>
        <v>716.64</v>
      </c>
      <c r="E21" s="2"/>
      <c r="F21" s="10" t="s">
        <v>14</v>
      </c>
      <c r="G21" s="11">
        <f>G20*0.4797</f>
        <v>3781.4942880000003</v>
      </c>
      <c r="H21" s="18"/>
    </row>
    <row r="22" spans="1:8" x14ac:dyDescent="0.35">
      <c r="A22" s="13" t="s">
        <v>67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15</v>
      </c>
    </row>
    <row r="23" spans="1:8" x14ac:dyDescent="0.35">
      <c r="A23" s="13" t="s">
        <v>68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16</v>
      </c>
    </row>
    <row r="24" spans="1:8" ht="15" thickBot="1" x14ac:dyDescent="0.4">
      <c r="A24" s="13" t="s">
        <v>69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12761.617621333335</v>
      </c>
      <c r="H24" s="2"/>
    </row>
    <row r="25" spans="1:8" ht="15" thickTop="1" x14ac:dyDescent="0.35">
      <c r="A25" s="13" t="s">
        <v>70</v>
      </c>
      <c r="B25" s="9">
        <v>40</v>
      </c>
      <c r="C25" s="14">
        <v>44.79</v>
      </c>
      <c r="D25" s="15">
        <f>B25*C25</f>
        <v>1791.6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7883.0400000000009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73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7524.7199999999993</v>
      </c>
      <c r="H32" s="2"/>
    </row>
    <row r="33" spans="1:8" x14ac:dyDescent="0.35">
      <c r="A33" s="13" t="s">
        <v>100</v>
      </c>
      <c r="B33" s="9">
        <v>40</v>
      </c>
      <c r="C33" s="14">
        <v>44.79</v>
      </c>
      <c r="D33" s="15">
        <f>B33*C33</f>
        <v>1791.6</v>
      </c>
      <c r="E33" s="2"/>
      <c r="F33" s="10" t="s">
        <v>14</v>
      </c>
      <c r="G33" s="11">
        <f>G32*0.4797</f>
        <v>3609.6081839999997</v>
      </c>
      <c r="H33" s="2"/>
    </row>
    <row r="34" spans="1:8" x14ac:dyDescent="0.35">
      <c r="A34" s="13" t="s">
        <v>74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15</v>
      </c>
    </row>
    <row r="35" spans="1:8" x14ac:dyDescent="0.35">
      <c r="A35" s="13" t="s">
        <v>75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16</v>
      </c>
    </row>
    <row r="36" spans="1:8" x14ac:dyDescent="0.35">
      <c r="A36" s="13" t="s">
        <v>76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>
        <v>45565</v>
      </c>
      <c r="B37" s="9">
        <v>8</v>
      </c>
      <c r="C37" s="14">
        <v>44.79</v>
      </c>
      <c r="D37" s="15">
        <f>B37*C37</f>
        <v>358.32</v>
      </c>
      <c r="E37" s="2"/>
      <c r="F37" s="7" t="s">
        <v>1</v>
      </c>
      <c r="G37" s="17">
        <f>SUM(G32:G35)</f>
        <v>12231.411517333332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7524.7199999999993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B1A4-1B5D-4812-83CB-883A52AFF138}">
  <dimension ref="A1:J41"/>
  <sheetViews>
    <sheetView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9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80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29</v>
      </c>
      <c r="B2" s="4">
        <f>G12</f>
        <v>13291.823725333335</v>
      </c>
      <c r="C2" s="2"/>
      <c r="D2" s="2"/>
      <c r="E2" s="2"/>
      <c r="F2" s="2"/>
      <c r="G2" s="2"/>
      <c r="H2" s="2"/>
    </row>
    <row r="3" spans="1:10" x14ac:dyDescent="0.35">
      <c r="A3" s="3" t="s">
        <v>30</v>
      </c>
      <c r="B3" s="4">
        <f>G24</f>
        <v>12231.411517333332</v>
      </c>
      <c r="C3" s="2"/>
      <c r="D3" s="2"/>
      <c r="E3" s="2"/>
      <c r="F3" s="32"/>
      <c r="G3" s="2"/>
      <c r="H3" s="2"/>
    </row>
    <row r="4" spans="1:10" x14ac:dyDescent="0.35">
      <c r="A4" s="3" t="s">
        <v>31</v>
      </c>
      <c r="B4" s="4">
        <f>G37</f>
        <v>12761.617621333335</v>
      </c>
      <c r="C4" s="2"/>
      <c r="D4" s="2"/>
      <c r="E4" s="28" t="s">
        <v>22</v>
      </c>
      <c r="F4" s="33"/>
    </row>
    <row r="5" spans="1:10" ht="15" thickBot="1" x14ac:dyDescent="0.4">
      <c r="A5" s="5" t="s">
        <v>1</v>
      </c>
      <c r="B5" s="6">
        <f>SUM(B2:B4)</f>
        <v>38284.852864</v>
      </c>
      <c r="C5" s="1" t="s">
        <v>23</v>
      </c>
      <c r="D5" s="2"/>
      <c r="E5" s="27">
        <f>B5*3</f>
        <v>114854.558592</v>
      </c>
      <c r="F5" s="31"/>
    </row>
    <row r="6" spans="1:10" ht="15" thickTop="1" x14ac:dyDescent="0.35">
      <c r="A6" s="7"/>
      <c r="B6" s="8"/>
      <c r="C6" s="2"/>
      <c r="D6" s="2"/>
      <c r="E6" s="2"/>
      <c r="F6" s="2"/>
    </row>
    <row r="7" spans="1:10" x14ac:dyDescent="0.35">
      <c r="A7" s="1" t="s">
        <v>81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8241.36</v>
      </c>
      <c r="H8" s="2"/>
      <c r="I8" s="12"/>
    </row>
    <row r="9" spans="1:10" x14ac:dyDescent="0.35">
      <c r="A9" s="13" t="s">
        <v>84</v>
      </c>
      <c r="B9" s="9">
        <v>32</v>
      </c>
      <c r="C9" s="14">
        <v>44.79</v>
      </c>
      <c r="D9" s="15">
        <f>B9*C9</f>
        <v>1433.28</v>
      </c>
      <c r="E9" s="2"/>
      <c r="F9" s="10" t="s">
        <v>14</v>
      </c>
      <c r="G9" s="11">
        <f>G8*0.4797</f>
        <v>3953.3803920000005</v>
      </c>
      <c r="H9" s="2"/>
    </row>
    <row r="10" spans="1:10" x14ac:dyDescent="0.35">
      <c r="A10" s="13" t="s">
        <v>85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15</v>
      </c>
    </row>
    <row r="11" spans="1:10" x14ac:dyDescent="0.35">
      <c r="A11" s="13" t="s">
        <v>86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16</v>
      </c>
    </row>
    <row r="12" spans="1:10" ht="15" thickBot="1" x14ac:dyDescent="0.4">
      <c r="A12" s="13" t="s">
        <v>87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13291.823725333335</v>
      </c>
      <c r="H12" s="18"/>
      <c r="J12" s="12"/>
    </row>
    <row r="13" spans="1:10" ht="15" thickTop="1" x14ac:dyDescent="0.35">
      <c r="A13" s="13" t="s">
        <v>88</v>
      </c>
      <c r="B13" s="9">
        <v>32</v>
      </c>
      <c r="C13" s="14">
        <v>44.79</v>
      </c>
      <c r="D13" s="15">
        <f>B13*C13</f>
        <v>1433.28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8241.36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82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7524.7199999999993</v>
      </c>
      <c r="H20" s="2"/>
    </row>
    <row r="21" spans="1:8" x14ac:dyDescent="0.35">
      <c r="A21" s="13">
        <v>45597</v>
      </c>
      <c r="B21" s="9">
        <v>8</v>
      </c>
      <c r="C21" s="14">
        <v>44.79</v>
      </c>
      <c r="D21" s="15">
        <f>B21*C21</f>
        <v>358.32</v>
      </c>
      <c r="E21" s="2"/>
      <c r="F21" s="10" t="s">
        <v>14</v>
      </c>
      <c r="G21" s="11">
        <f>G20*0.4797</f>
        <v>3609.6081839999997</v>
      </c>
      <c r="H21" s="18"/>
    </row>
    <row r="22" spans="1:8" x14ac:dyDescent="0.35">
      <c r="A22" s="13" t="s">
        <v>89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15</v>
      </c>
    </row>
    <row r="23" spans="1:8" x14ac:dyDescent="0.35">
      <c r="A23" s="13" t="s">
        <v>90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16</v>
      </c>
    </row>
    <row r="24" spans="1:8" ht="15" thickBot="1" x14ac:dyDescent="0.4">
      <c r="A24" s="13" t="s">
        <v>91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12231.411517333332</v>
      </c>
      <c r="H24" s="2"/>
    </row>
    <row r="25" spans="1:8" ht="15" thickTop="1" x14ac:dyDescent="0.35">
      <c r="A25" s="13" t="s">
        <v>92</v>
      </c>
      <c r="B25" s="9">
        <v>40</v>
      </c>
      <c r="C25" s="14">
        <v>44.79</v>
      </c>
      <c r="D25" s="15">
        <f>B25*C25</f>
        <v>1791.6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7524.7199999999993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83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D39</f>
        <v>7883.04</v>
      </c>
      <c r="H32" s="2"/>
    </row>
    <row r="33" spans="1:8" x14ac:dyDescent="0.35">
      <c r="A33" s="13" t="s">
        <v>96</v>
      </c>
      <c r="B33" s="9">
        <v>40</v>
      </c>
      <c r="C33" s="14">
        <v>44.79</v>
      </c>
      <c r="D33" s="15">
        <f t="shared" ref="D33:D38" si="0">B33*C33</f>
        <v>1791.6</v>
      </c>
      <c r="E33" s="2"/>
      <c r="F33" s="10" t="s">
        <v>14</v>
      </c>
      <c r="G33" s="11">
        <f>G32*0.4797</f>
        <v>3781.4942880000003</v>
      </c>
      <c r="H33" s="2"/>
    </row>
    <row r="34" spans="1:8" x14ac:dyDescent="0.35">
      <c r="A34" s="13" t="s">
        <v>93</v>
      </c>
      <c r="B34" s="9">
        <v>40</v>
      </c>
      <c r="C34" s="14">
        <v>44.79</v>
      </c>
      <c r="D34" s="15">
        <f t="shared" si="0"/>
        <v>1791.6</v>
      </c>
      <c r="E34" s="2"/>
      <c r="F34" s="10" t="s">
        <v>6</v>
      </c>
      <c r="G34" s="11">
        <f>10165/12*1</f>
        <v>847.08333333333337</v>
      </c>
      <c r="H34" s="16" t="s">
        <v>15</v>
      </c>
    </row>
    <row r="35" spans="1:8" x14ac:dyDescent="0.35">
      <c r="A35" s="13" t="s">
        <v>94</v>
      </c>
      <c r="B35" s="9">
        <v>40</v>
      </c>
      <c r="C35" s="14">
        <v>44.79</v>
      </c>
      <c r="D35" s="15">
        <f t="shared" si="0"/>
        <v>1791.6</v>
      </c>
      <c r="E35" s="2"/>
      <c r="F35" s="10" t="s">
        <v>7</v>
      </c>
      <c r="G35" s="11">
        <f>3000/12*1</f>
        <v>250</v>
      </c>
      <c r="H35" s="16" t="s">
        <v>16</v>
      </c>
    </row>
    <row r="36" spans="1:8" x14ac:dyDescent="0.35">
      <c r="A36" s="13" t="s">
        <v>95</v>
      </c>
      <c r="B36" s="9">
        <v>40</v>
      </c>
      <c r="C36" s="14">
        <v>44.79</v>
      </c>
      <c r="D36" s="15">
        <f t="shared" si="0"/>
        <v>1791.6</v>
      </c>
      <c r="E36" s="2"/>
      <c r="F36" s="22"/>
      <c r="G36" s="23"/>
      <c r="H36" s="16"/>
    </row>
    <row r="37" spans="1:8" ht="15" thickBot="1" x14ac:dyDescent="0.4">
      <c r="A37" s="13" t="s">
        <v>97</v>
      </c>
      <c r="B37" s="9">
        <v>16</v>
      </c>
      <c r="C37" s="14">
        <v>44.79</v>
      </c>
      <c r="D37" s="15">
        <f t="shared" si="0"/>
        <v>716.64</v>
      </c>
      <c r="E37" s="2"/>
      <c r="F37" s="7" t="s">
        <v>1</v>
      </c>
      <c r="G37" s="17">
        <f>SUM(G32:G35)</f>
        <v>12761.617621333335</v>
      </c>
      <c r="H37" s="16"/>
    </row>
    <row r="38" spans="1:8" ht="15" thickTop="1" x14ac:dyDescent="0.35">
      <c r="A38" s="13"/>
      <c r="B38" s="9">
        <v>0</v>
      </c>
      <c r="C38" s="14">
        <v>44.79</v>
      </c>
      <c r="D38" s="15">
        <f t="shared" si="0"/>
        <v>0</v>
      </c>
      <c r="E38" s="2"/>
      <c r="F38" s="7"/>
      <c r="G38" s="8"/>
      <c r="H38" s="16"/>
    </row>
    <row r="39" spans="1:8" ht="15" thickBot="1" x14ac:dyDescent="0.4">
      <c r="A39" s="19"/>
      <c r="B39" s="2"/>
      <c r="C39" s="7" t="s">
        <v>8</v>
      </c>
      <c r="D39" s="24">
        <f>SUM(D33:D38)</f>
        <v>7883.04</v>
      </c>
      <c r="E39" s="2"/>
      <c r="F39" s="7"/>
      <c r="G39" s="8"/>
      <c r="H39" s="2"/>
    </row>
    <row r="40" spans="1:8" ht="15" thickTop="1" x14ac:dyDescent="0.35">
      <c r="F40" s="25"/>
    </row>
    <row r="41" spans="1:8" x14ac:dyDescent="0.35">
      <c r="G41" s="2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29BC-90CA-475F-9A02-7B1CD65DAA6B}">
  <dimension ref="A1:A23"/>
  <sheetViews>
    <sheetView workbookViewId="0">
      <selection sqref="A1:A1048576"/>
    </sheetView>
  </sheetViews>
  <sheetFormatPr defaultRowHeight="14.5" x14ac:dyDescent="0.35"/>
  <cols>
    <col min="1" max="1" width="8.7265625" customWidth="1"/>
  </cols>
  <sheetData>
    <row r="1" customFormat="1" x14ac:dyDescent="0.35"/>
    <row r="2" customFormat="1" x14ac:dyDescent="0.35"/>
    <row r="3" customFormat="1" x14ac:dyDescent="0.35"/>
    <row r="4" customFormat="1" x14ac:dyDescent="0.35"/>
    <row r="5" customFormat="1" x14ac:dyDescent="0.35"/>
    <row r="6" customFormat="1" x14ac:dyDescent="0.35"/>
    <row r="7" customFormat="1" x14ac:dyDescent="0.35"/>
    <row r="8" customFormat="1" x14ac:dyDescent="0.35"/>
    <row r="9" customFormat="1" x14ac:dyDescent="0.35"/>
    <row r="10" customFormat="1" x14ac:dyDescent="0.35"/>
    <row r="11" customFormat="1" x14ac:dyDescent="0.35"/>
    <row r="12" customFormat="1" x14ac:dyDescent="0.35"/>
    <row r="13" customFormat="1" x14ac:dyDescent="0.35"/>
    <row r="14" customFormat="1" x14ac:dyDescent="0.35"/>
    <row r="15" customFormat="1" x14ac:dyDescent="0.35"/>
    <row r="16" customForma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27A-2C1D-4D14-87ED-FE6142414E7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3073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3</xdr:row>
                <xdr:rowOff>133350</xdr:rowOff>
              </to>
            </anchor>
          </objectPr>
        </oleObject>
      </mc:Choice>
      <mc:Fallback>
        <oleObject progId="Acrobat Document" dvAspect="DVASPECT_ICON" shapeId="3073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B994A46EC0C418E930211A34EFDCD" ma:contentTypeVersion="15" ma:contentTypeDescription="Create a new document." ma:contentTypeScope="" ma:versionID="908d86efd34d6b29a93ebb9af8b63eea">
  <xsd:schema xmlns:xsd="http://www.w3.org/2001/XMLSchema" xmlns:xs="http://www.w3.org/2001/XMLSchema" xmlns:p="http://schemas.microsoft.com/office/2006/metadata/properties" xmlns:ns2="87a0f660-a1fb-4ffb-b50b-a716e7b88513" xmlns:ns3="446f9122-2130-43ec-b5f8-a79343957b58" targetNamespace="http://schemas.microsoft.com/office/2006/metadata/properties" ma:root="true" ma:fieldsID="36a124218bb96cf0bfad3a9c22c20c5d" ns2:_="" ns3:_="">
    <xsd:import namespace="87a0f660-a1fb-4ffb-b50b-a716e7b88513"/>
    <xsd:import namespace="446f9122-2130-43ec-b5f8-a79343957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0f660-a1fb-4ffb-b50b-a716e7b88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f9122-2130-43ec-b5f8-a79343957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e6a3a5-9b09-45db-821f-127591399870}" ma:internalName="TaxCatchAll" ma:showField="CatchAllData" ma:web="446f9122-2130-43ec-b5f8-a79343957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a0f660-a1fb-4ffb-b50b-a716e7b88513">
      <Terms xmlns="http://schemas.microsoft.com/office/infopath/2007/PartnerControls"/>
    </lcf76f155ced4ddcb4097134ff3c332f>
    <TaxCatchAll xmlns="446f9122-2130-43ec-b5f8-a79343957b58" xsi:nil="true"/>
  </documentManagement>
</p:properties>
</file>

<file path=customXml/itemProps1.xml><?xml version="1.0" encoding="utf-8"?>
<ds:datastoreItem xmlns:ds="http://schemas.openxmlformats.org/officeDocument/2006/customXml" ds:itemID="{607C91B1-D972-4FA2-98C0-321D98D47886}"/>
</file>

<file path=customXml/itemProps2.xml><?xml version="1.0" encoding="utf-8"?>
<ds:datastoreItem xmlns:ds="http://schemas.openxmlformats.org/officeDocument/2006/customXml" ds:itemID="{6671CBFE-45CF-435F-B0A1-F7DEF6365826}"/>
</file>

<file path=customXml/itemProps3.xml><?xml version="1.0" encoding="utf-8"?>
<ds:datastoreItem xmlns:ds="http://schemas.openxmlformats.org/officeDocument/2006/customXml" ds:itemID="{9B61C453-688A-447C-9235-F80303660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2024</vt:lpstr>
      <vt:lpstr>Q2 2024</vt:lpstr>
      <vt:lpstr>Q3 2024</vt:lpstr>
      <vt:lpstr>Q4 2024</vt:lpstr>
      <vt:lpstr>Budget Backup</vt:lpstr>
      <vt:lpstr>MOA Backup</vt:lpstr>
    </vt:vector>
  </TitlesOfParts>
  <Company>City of Seattle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Willy</dc:creator>
  <cp:lastModifiedBy>Chow, Willy</cp:lastModifiedBy>
  <dcterms:created xsi:type="dcterms:W3CDTF">2023-04-04T17:54:29Z</dcterms:created>
  <dcterms:modified xsi:type="dcterms:W3CDTF">2024-03-25T22:53:40Z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0x010100DA7B994A46EC0C418E930211A34EFDCD</vt:lpwstr>
  </property>
</Properties>
</file>