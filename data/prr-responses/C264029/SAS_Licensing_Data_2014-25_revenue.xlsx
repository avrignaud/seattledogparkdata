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attlegov-my.sharepoint.com/personal/arlene_ehrlich_seattle_gov/Documents/PDRs/Licensing 2026/"/>
    </mc:Choice>
  </mc:AlternateContent>
  <xr:revisionPtr revIDLastSave="0" documentId="8_{2940B2B7-0846-452E-8711-E46B5B262C39}" xr6:coauthVersionLast="47" xr6:coauthVersionMax="47" xr10:uidLastSave="{00000000-0000-0000-0000-000000000000}"/>
  <bookViews>
    <workbookView xWindow="-120" yWindow="-120" windowWidth="29040" windowHeight="15720" xr2:uid="{72388561-187F-492B-B43F-C912E7EE62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1" l="1"/>
  <c r="H5" i="1"/>
  <c r="F5" i="1"/>
  <c r="C5" i="1"/>
  <c r="D5" i="1"/>
  <c r="E5" i="1"/>
  <c r="G5" i="1"/>
  <c r="J5" i="1"/>
  <c r="K5" i="1"/>
  <c r="L5" i="1"/>
  <c r="M5" i="1"/>
  <c r="B5" i="1"/>
  <c r="G3" i="1" l="1"/>
  <c r="H3" i="1" s="1"/>
  <c r="I3" i="1" s="1"/>
  <c r="J3" i="1" s="1"/>
  <c r="K3" i="1" s="1"/>
  <c r="L3" i="1" s="1"/>
  <c r="M3" i="1" s="1"/>
</calcChain>
</file>

<file path=xl/sharedStrings.xml><?xml version="1.0" encoding="utf-8"?>
<sst xmlns="http://schemas.openxmlformats.org/spreadsheetml/2006/main" count="8" uniqueCount="8">
  <si>
    <t>License Type</t>
  </si>
  <si>
    <t>2015*</t>
  </si>
  <si>
    <t>*2015 are actuals through November and projected Dec (based on trends)</t>
  </si>
  <si>
    <t>Dog Licenses</t>
  </si>
  <si>
    <t>2017**</t>
  </si>
  <si>
    <t>**2017 data is incomplete</t>
  </si>
  <si>
    <t>Total Licenses</t>
  </si>
  <si>
    <t>Seattle Animal Shelter Licensing General Fund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</si>
</sst>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$&quot;#,##0_);\(&quot;$&quot;#,##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top" wrapText="1" readingOrder="1"/>
    </xf>
    <xf numFmtId="3" fontId="1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5" fontId="3" fillId="0" borderId="1" xfId="0" applyNumberFormat="1" applyFont="1" applyBorder="1"/>
    <xf numFmtId="0" fontId="3" fillId="0" borderId="0" xfId="0" applyFont="1"/>
    <xf numFmtId="0" fontId="1" fillId="0" borderId="0" xfId="0" applyFont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2A2C-E931-451F-BF93-9B8977182F9B}">
  <dimension ref="A1:M7"/>
  <sheetViews>
    <sheetView tabSelected="1" workbookViewId="0">
      <selection activeCell="E21" sqref="E21"/>
    </sheetView>
  </sheetViews>
  <sheetFormatPr defaultRowHeight="15" x14ac:dyDescent="0.25"/>
  <cols>
    <col min="1" max="1" width="30.140625" style="1" customWidth="1"/>
    <col min="2" max="4" width="10.7109375" style="1" bestFit="1" customWidth="1"/>
    <col min="5" max="5" width="9.140625" style="1"/>
    <col min="6" max="6" width="11.28515625" style="1" bestFit="1" customWidth="1"/>
    <col min="7" max="13" width="10.7109375" style="1" bestFit="1" customWidth="1"/>
    <col min="14" max="16384" width="9.140625" style="1"/>
  </cols>
  <sheetData>
    <row r="1" spans="1:13" x14ac:dyDescent="0.25">
      <c r="A1" s="7" t="s">
        <v>7</v>
      </c>
    </row>
    <row r="3" spans="1:13" x14ac:dyDescent="0.25">
      <c r="A3" s="5" t="s">
        <v>0</v>
      </c>
      <c r="B3" s="5">
        <v>2014</v>
      </c>
      <c r="C3" s="5" t="s">
        <v>1</v>
      </c>
      <c r="D3" s="5">
        <v>2016</v>
      </c>
      <c r="E3" s="5" t="s">
        <v>4</v>
      </c>
      <c r="F3" s="5">
        <v>2018</v>
      </c>
      <c r="G3" s="5">
        <f t="shared" ref="G3:M3" si="0">F3+1</f>
        <v>2019</v>
      </c>
      <c r="H3" s="5">
        <f t="shared" si="0"/>
        <v>2020</v>
      </c>
      <c r="I3" s="5">
        <f>H3+1</f>
        <v>2021</v>
      </c>
      <c r="J3" s="5">
        <f t="shared" si="0"/>
        <v>2022</v>
      </c>
      <c r="K3" s="5">
        <f t="shared" si="0"/>
        <v>2023</v>
      </c>
      <c r="L3" s="5">
        <f>K3+1</f>
        <v>2024</v>
      </c>
      <c r="M3" s="5">
        <f t="shared" si="0"/>
        <v>2025</v>
      </c>
    </row>
    <row r="4" spans="1:13" x14ac:dyDescent="0.25">
      <c r="A4" s="2" t="s">
        <v>3</v>
      </c>
      <c r="B4" s="3">
        <v>732122.49</v>
      </c>
      <c r="C4" s="3">
        <v>789506.26</v>
      </c>
      <c r="D4" s="3">
        <v>732869.65079999994</v>
      </c>
      <c r="E4" s="3">
        <v>129081.9972</v>
      </c>
      <c r="F4" s="3">
        <v>1272520</v>
      </c>
      <c r="G4" s="3">
        <v>1292043</v>
      </c>
      <c r="H4" s="3">
        <v>1293222</v>
      </c>
      <c r="I4" s="3">
        <v>1273351</v>
      </c>
      <c r="J4" s="3">
        <v>1230154</v>
      </c>
      <c r="K4" s="3">
        <v>1167473</v>
      </c>
      <c r="L4" s="3">
        <v>1175758</v>
      </c>
      <c r="M4" s="3">
        <v>866430</v>
      </c>
    </row>
    <row r="5" spans="1:13" x14ac:dyDescent="0.25">
      <c r="A5" s="4" t="s">
        <v>6</v>
      </c>
      <c r="B5" s="6">
        <f>SUM(B4:B4)</f>
        <v>732122.49</v>
      </c>
      <c r="C5" s="6">
        <f>SUM(C4:C4)</f>
        <v>789506.26</v>
      </c>
      <c r="D5" s="6">
        <f>SUM(D4:D4)</f>
        <v>732869.65079999994</v>
      </c>
      <c r="E5" s="6">
        <f>SUM(E4:E4)</f>
        <v>129081.9972</v>
      </c>
      <c r="F5" s="6">
        <f>SUM(F4:F4)</f>
        <v>1272520</v>
      </c>
      <c r="G5" s="6">
        <f>SUM(G4:G4)</f>
        <v>1292043</v>
      </c>
      <c r="H5" s="6">
        <f>SUM(H4:H4)</f>
        <v>1293222</v>
      </c>
      <c r="I5" s="6">
        <f>SUM(I4:I4)</f>
        <v>1273351</v>
      </c>
      <c r="J5" s="6">
        <f>SUM(J4:J4)</f>
        <v>1230154</v>
      </c>
      <c r="K5" s="6">
        <f>SUM(K4:K4)</f>
        <v>1167473</v>
      </c>
      <c r="L5" s="6">
        <f>SUM(L4:L4)</f>
        <v>1175758</v>
      </c>
      <c r="M5" s="6">
        <f>SUM(M4:M4)</f>
        <v>866430</v>
      </c>
    </row>
    <row r="6" spans="1:13" x14ac:dyDescent="0.25">
      <c r="A6" s="8" t="s">
        <v>2</v>
      </c>
    </row>
    <row r="7" spans="1:13" x14ac:dyDescent="0.25">
      <c r="A7" s="8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97c2a25c-25db-4634-b347-87ab0af10b27" xsi:nil="true"/>
    <lcf76f155ced4ddcb4097134ff3c332f xmlns="39b15ed7-0c85-4965-80df-a98bcd252c8d">
      <Terms xmlns="http://schemas.microsoft.com/office/infopath/2007/PartnerControls"/>
    </lcf76f155ced4ddcb4097134ff3c332f>
    <Comments xmlns="39b15ed7-0c85-4965-80df-a98bcd252c8d" xsi:nil="true"/>
    <g5d531cd04bb490385ab8912f9b280c1 xmlns="39b15ed7-0c85-4965-80df-a98bcd252c8d">
      <Terms xmlns="http://schemas.microsoft.com/office/infopath/2007/PartnerControls"/>
    </g5d531cd04bb490385ab8912f9b280c1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32E1B0182984FB499DD587BE23BDA" ma:contentTypeVersion="21" ma:contentTypeDescription="Create a new document." ma:contentTypeScope="" ma:versionID="ff4bc1df30c3e44f0296c2191317f202">
  <xsd:schema xmlns:xsd="http://www.w3.org/2001/XMLSchema" xmlns:xs="http://www.w3.org/2001/XMLSchema" xmlns:p="http://schemas.microsoft.com/office/2006/metadata/properties" xmlns:ns1="http://schemas.microsoft.com/sharepoint/v3" xmlns:ns2="39b15ed7-0c85-4965-80df-a98bcd252c8d" xmlns:ns3="7e08fc14-ccc7-4d5b-afc4-4090526bc2a4" xmlns:ns4="97c2a25c-25db-4634-b347-87ab0af10b27" targetNamespace="http://schemas.microsoft.com/office/2006/metadata/properties" ma:root="true" ma:fieldsID="17e8a8c21c786fb222e4babceb4ae591" ns1:_="" ns2:_="" ns3:_="" ns4:_="">
    <xsd:import namespace="http://schemas.microsoft.com/sharepoint/v3"/>
    <xsd:import namespace="39b15ed7-0c85-4965-80df-a98bcd252c8d"/>
    <xsd:import namespace="7e08fc14-ccc7-4d5b-afc4-4090526bc2a4"/>
    <xsd:import namespace="97c2a25c-25db-4634-b347-87ab0af10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Comments" minOccurs="0"/>
                <xsd:element ref="ns2:MediaServiceObjectDetectorVersions" minOccurs="0"/>
                <xsd:element ref="ns2:MediaServiceSearchProperties" minOccurs="0"/>
                <xsd:element ref="ns2:g5d531cd04bb490385ab8912f9b280c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b15ed7-0c85-4965-80df-a98bcd252c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ec48df8-e8cc-4a73-a73e-519b29584a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24" nillable="true" ma:displayName="Comments" ma:format="Dropdown" ma:internalName="Comments">
      <xsd:simpleType>
        <xsd:restriction base="dms:Note">
          <xsd:maxLength value="255"/>
        </xsd:restriction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g5d531cd04bb490385ab8912f9b280c1" ma:index="28" nillable="true" ma:taxonomy="true" ma:internalName="g5d531cd04bb490385ab8912f9b280c1" ma:taxonomyFieldName="metadata" ma:displayName="metadata" ma:default="" ma:fieldId="{05d531cd-04bb-4903-85ab-8912f9b280c1}" ma:sspId="dec48df8-e8cc-4a73-a73e-519b29584afd" ma:termSetId="d8e13114-6fa5-47e2-9657-dd25fded9ebd" ma:anchorId="00000000-0000-0000-0000-000000000000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8fc14-ccc7-4d5b-afc4-4090526bc2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a25c-25db-4634-b347-87ab0af10b27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f584456a-3c9b-4175-8146-856d8604283e}" ma:internalName="TaxCatchAll" ma:showField="CatchAllData" ma:web="7e08fc14-ccc7-4d5b-afc4-4090526bc2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EE45C3-0D48-455A-87B4-505074608431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9c55fab9-e760-4b42-81dd-6e9ffbf8d350"/>
    <ds:schemaRef ds:uri="97c2a25c-25db-4634-b347-87ab0af10b27"/>
    <ds:schemaRef ds:uri="5bae4533-45fa-44a7-95c7-a92a90bc84ee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22D8C3E-D64A-4A16-9839-4ABA0FEA89A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05031C-BFA6-484A-986A-2AC5DE98A0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Abenojar, Ester</dc:creator>
  <cp:lastModifiedBy>Ehrlich, Arlene</cp:lastModifiedBy>
  <dcterms:created xsi:type="dcterms:W3CDTF">2026-05-04T17:42:57Z</dcterms:created>
  <dcterms:modified xsi:type="dcterms:W3CDTF">2026-05-08T23:24:30Z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0x01010037D32E1B0182984FB499DD587BE23BDA</vt:lpwstr>
  </property>
  <property fmtid="{D5CDD505-2E9C-101B-9397-08002B2CF9AE}" pid="3" name="MediaServiceImageTags">
    <vt:lpwstr/>
  </property>
</Properties>
</file>